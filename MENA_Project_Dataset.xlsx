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/>
  <xr:revisionPtr revIDLastSave="0" documentId="13_ncr:1_{8867A7BB-92C9-4AB6-A8F5-FE99830A3319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Project Overview" sheetId="1" r:id="rId1"/>
    <sheet name="Material Quantities &amp; EC" sheetId="2" r:id="rId2"/>
    <sheet name="Thermal Penalty Records" sheetId="3" r:id="rId3"/>
    <sheet name="Scheduling Optimisation" sheetId="4" r:id="rId4"/>
    <sheet name="PINN LOPO-CV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" i="5" l="1"/>
  <c r="G16" i="5"/>
  <c r="F16" i="5"/>
  <c r="E16" i="5"/>
  <c r="D16" i="5"/>
  <c r="C16" i="5"/>
  <c r="K16" i="4"/>
  <c r="G16" i="4"/>
  <c r="F16" i="4"/>
  <c r="E16" i="4"/>
  <c r="D16" i="4"/>
  <c r="C16" i="4"/>
  <c r="O16" i="2"/>
  <c r="N16" i="2"/>
  <c r="M16" i="2"/>
  <c r="L16" i="2"/>
  <c r="K16" i="2"/>
  <c r="J16" i="2"/>
  <c r="I16" i="2"/>
  <c r="H16" i="2"/>
  <c r="G16" i="2"/>
  <c r="F16" i="2"/>
  <c r="E16" i="2"/>
  <c r="D16" i="2"/>
  <c r="M16" i="1"/>
  <c r="L16" i="1"/>
  <c r="K16" i="1"/>
  <c r="J16" i="1"/>
  <c r="I16" i="1"/>
  <c r="G16" i="1"/>
  <c r="F16" i="1"/>
</calcChain>
</file>

<file path=xl/sharedStrings.xml><?xml version="1.0" encoding="utf-8"?>
<sst xmlns="http://schemas.openxmlformats.org/spreadsheetml/2006/main" count="415" uniqueCount="134">
  <si>
    <t>MENA Arid-Region Construction Projects — Thermal-Aware Embodied Carbon Study Dataset</t>
  </si>
  <si>
    <t>Project ID</t>
  </si>
  <si>
    <t>Building Type</t>
  </si>
  <si>
    <t>Location</t>
  </si>
  <si>
    <t>Country</t>
  </si>
  <si>
    <t>Köppen Zone</t>
  </si>
  <si>
    <t>GFA (m²)</t>
  </si>
  <si>
    <t>Duration (months)</t>
  </si>
  <si>
    <t>Construction Period</t>
  </si>
  <si>
    <t>Max Temp (°C)</t>
  </si>
  <si>
    <t>Mean Summer Temp (°C)</t>
  </si>
  <si>
    <t>Baseline EC
(kgCO₂e/m²)</t>
  </si>
  <si>
    <t>Thermal-Adj EC
(kgCO₂e/m²)</t>
  </si>
  <si>
    <t>Conv. Signed
Bias (%)</t>
  </si>
  <si>
    <t>P01</t>
  </si>
  <si>
    <t>Residential</t>
  </si>
  <si>
    <t>Dubai</t>
  </si>
  <si>
    <t>UAE</t>
  </si>
  <si>
    <t>BWh</t>
  </si>
  <si>
    <t>2019–2020</t>
  </si>
  <si>
    <t>P02</t>
  </si>
  <si>
    <t>Commercial</t>
  </si>
  <si>
    <t>Riyadh</t>
  </si>
  <si>
    <t>KSA</t>
  </si>
  <si>
    <t>2020–2022</t>
  </si>
  <si>
    <t>P03</t>
  </si>
  <si>
    <t>Institutional</t>
  </si>
  <si>
    <t>Cairo</t>
  </si>
  <si>
    <t>Egypt</t>
  </si>
  <si>
    <t>2020–2021</t>
  </si>
  <si>
    <t>P04</t>
  </si>
  <si>
    <t>Doha</t>
  </si>
  <si>
    <t>Qatar</t>
  </si>
  <si>
    <t>2021–2022</t>
  </si>
  <si>
    <t>P05</t>
  </si>
  <si>
    <t>Abu Dhabi</t>
  </si>
  <si>
    <t>P06</t>
  </si>
  <si>
    <t>Muscat</t>
  </si>
  <si>
    <t>Oman</t>
  </si>
  <si>
    <t>2019–2021</t>
  </si>
  <si>
    <t>P07</t>
  </si>
  <si>
    <t>Kuwait City</t>
  </si>
  <si>
    <t>Kuwait</t>
  </si>
  <si>
    <t>P08</t>
  </si>
  <si>
    <t>Jeddah</t>
  </si>
  <si>
    <t>2019–2022</t>
  </si>
  <si>
    <t>P09</t>
  </si>
  <si>
    <t>Amman</t>
  </si>
  <si>
    <t>Jordan</t>
  </si>
  <si>
    <t>BSh</t>
  </si>
  <si>
    <t>P10</t>
  </si>
  <si>
    <t>Manama</t>
  </si>
  <si>
    <t>Bahrain</t>
  </si>
  <si>
    <t>2022–2023</t>
  </si>
  <si>
    <t>P11</t>
  </si>
  <si>
    <t>2020–2023</t>
  </si>
  <si>
    <t>P12</t>
  </si>
  <si>
    <t>Rabat</t>
  </si>
  <si>
    <t>Morocco</t>
  </si>
  <si>
    <t>2021–2023</t>
  </si>
  <si>
    <t>AVERAGE / TOTAL</t>
  </si>
  <si>
    <t>Note: All project identifiers anonymised. Data collected under institutional data-sharing agreements. Conv. Signed Bias = (Baseline EC − Thermal-Adj EC)/Thermal-Adj EC × 100%. Climate zone: Köppen-Geiger (BWh = Hot Desert; BSh = Hot Semi-Arid). Thermal-Adj EC derived from audited bills of quantities + site records.</t>
  </si>
  <si>
    <t>Material Quantities and Embodied Carbon by Category — Construction Stage A1–A5 (ICE Database v3.0)</t>
  </si>
  <si>
    <t>Concrete (A1–A3)</t>
  </si>
  <si>
    <t>Steel Reinf. (A1–A3)</t>
  </si>
  <si>
    <t>Aluminium (A1–A3)</t>
  </si>
  <si>
    <t>Insulation (A1–A3)</t>
  </si>
  <si>
    <t>Glass (A1–A3)</t>
  </si>
  <si>
    <t>Baseline EC
(kgCO₂e)</t>
  </si>
  <si>
    <t>Thermal-Adj EC
(kgCO₂e)</t>
  </si>
  <si>
    <t>Thermal Penalty
(kgCO₂e)</t>
  </si>
  <si>
    <t>Penalty %
of Baseline</t>
  </si>
  <si>
    <t>Vol. (m³)</t>
  </si>
  <si>
    <t>Unit EC
(kgCO₂e/m³)</t>
  </si>
  <si>
    <t>Total EC
(kgCO₂e)</t>
  </si>
  <si>
    <t>Mass (t)</t>
  </si>
  <si>
    <t>PROJECT TOTALS</t>
  </si>
  <si>
    <t>ICE Database v3.0 (Univ. of Bath) emission factors: Concrete C30/37 329–334 kgCO₂e/m³ | Steel rebar 1,460 kgCO₂e/tonne | Aluminium extruded 8,240 kgCO₂e/tonne | Mineral fibre insulation 2.50 kgCO₂e/m² | Float glass 13.1 kgCO₂e/m². Material quantities from audited bills of quantities and site delivery manifests. Baseline EC computed at project level (kgCO₂e/m² × GFA). Thermal Penalty = Thermal-Adj EC − Baseline EC (A5 temperature-associated incremental carbon).</t>
  </si>
  <si>
    <t>Activity-Level Thermal Penalty Records — Temperature-Associated Incremental Carbon (A5 Stage)</t>
  </si>
  <si>
    <t>Activity Type</t>
  </si>
  <si>
    <t>Ambient T (°C)</t>
  </si>
  <si>
    <t>Tref (°C)</t>
  </si>
  <si>
    <t>ΔT (°C)</t>
  </si>
  <si>
    <t>RH (%)</t>
  </si>
  <si>
    <t>WBGT (°C)</t>
  </si>
  <si>
    <t>Productivity
ψ(T)</t>
  </si>
  <si>
    <t>Degradation
φ(ΔT)</t>
  </si>
  <si>
    <t>Thermal Penalty
Eᵢᵗʰᵉʳᵐ (kgCO₂e)</t>
  </si>
  <si>
    <t>Penalty %</t>
  </si>
  <si>
    <t>Primary Mechanism</t>
  </si>
  <si>
    <t>Duration (h)</t>
  </si>
  <si>
    <t>Rebar Fixing</t>
  </si>
  <si>
    <t>Material wastage + admixtures</t>
  </si>
  <si>
    <t>Foundation Works</t>
  </si>
  <si>
    <t>Labour productivity loss + extended equipment runtime</t>
  </si>
  <si>
    <t>MEP Rough-in</t>
  </si>
  <si>
    <t>Rework + replacement batch</t>
  </si>
  <si>
    <t>Facade Cladding</t>
  </si>
  <si>
    <t>Concrete Curing</t>
  </si>
  <si>
    <t>Equipment fuel efficiency degradation</t>
  </si>
  <si>
    <t>Masonry Work</t>
  </si>
  <si>
    <t>Insulation Install</t>
  </si>
  <si>
    <t>Concrete Pour</t>
  </si>
  <si>
    <t>Additional curing operations</t>
  </si>
  <si>
    <t>Waterproofing</t>
  </si>
  <si>
    <t>Formwork Erection</t>
  </si>
  <si>
    <t>Total activity records: 60 | Projects: 12 | Temperature range: 38.5–52.0°C | Tref = 22.0°C | WBGT via Stull (2011) approximation | φ(ΔT): Eq.(9) cement hydration model | ψ(T): sigmoid productivity model Eq.(12) | Penalty = material degradation component + labour/equipment component</t>
  </si>
  <si>
    <t>Climate-Responsive Scheduling Optimisation — Single-Objective Carbon Minimisation (PuLP/CBC, SAA S=200)</t>
  </si>
  <si>
    <t>Baseline EC
(tCO₂e)</t>
  </si>
  <si>
    <t>Optimised EC
(tCO₂e)</t>
  </si>
  <si>
    <t>Reduction (%)</t>
  </si>
  <si>
    <t>Schedule
Change (days)</t>
  </si>
  <si>
    <t>Cost Impact
(%)</t>
  </si>
  <si>
    <t>Night-Work
Activities</t>
  </si>
  <si>
    <t>Solver Status</t>
  </si>
  <si>
    <t>Opt. Gap</t>
  </si>
  <si>
    <t>Solve Time
(min)</t>
  </si>
  <si>
    <t>Scenarios S</t>
  </si>
  <si>
    <t>Optimal</t>
  </si>
  <si>
    <t>≤1e-4</t>
  </si>
  <si>
    <t>AVERAGE</t>
  </si>
  <si>
    <t>PINN Leave-One-Project-Out Cross-Validation (LOPO-CV) Performance — TensorFlow 2.13.0, Adam lr=1.07e-4</t>
  </si>
  <si>
    <t>Fold</t>
  </si>
  <si>
    <t>Held-out Project</t>
  </si>
  <si>
    <t>RMSE (kgCO₂e)</t>
  </si>
  <si>
    <t>MAE (kgCO₂e)</t>
  </si>
  <si>
    <t>MAPE (%)</t>
  </si>
  <si>
    <t>R²</t>
  </si>
  <si>
    <t>Train Time (s)</t>
  </si>
  <si>
    <t>Infer Time (ms)</t>
  </si>
  <si>
    <t>MEAN (12-fold)</t>
  </si>
  <si>
    <t>95% CI (bootstrap)</t>
  </si>
  <si>
    <t>5.1%–6.1%</t>
  </si>
  <si>
    <t>0.961–0.969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</si>
</sst>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"/>
    <numFmt numFmtId="167" formatCode="#,##0.0"/>
  </numFmts>
  <fonts count="6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i/>
      <sz val="8"/>
      <color rgb="FF595959"/>
      <name val="Arial"/>
      <charset val="1"/>
    </font>
    <font>
      <b/>
      <sz val="8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3A6FA0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  <fill>
      <patternFill patternType="solid">
        <fgColor rgb="FF3A6FA0"/>
        <bgColor rgb="FF2E75B6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FCC"/>
      <rgbColor rgb="FFCCFFFF"/>
      <rgbColor rgb="FF660066"/>
      <rgbColor rgb="FFFF8080"/>
      <rgbColor rgb="FF3A6FA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3" width="14" customWidth="1"/>
    <col min="4" max="4" width="10" customWidth="1"/>
    <col min="5" max="6" width="12" customWidth="1"/>
    <col min="7" max="7" width="14" customWidth="1"/>
    <col min="8" max="8" width="16" customWidth="1"/>
    <col min="9" max="9" width="14" customWidth="1"/>
    <col min="10" max="10" width="16" customWidth="1"/>
    <col min="11" max="11" width="14" customWidth="1"/>
    <col min="12" max="12" width="15" customWidth="1"/>
    <col min="13" max="13" width="13" customWidth="1"/>
  </cols>
  <sheetData>
    <row r="1" spans="1:13" ht="24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33.75" customHeight="1" x14ac:dyDescent="0.3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</row>
    <row r="4" spans="1:13" ht="15" customHeight="1" x14ac:dyDescent="0.35">
      <c r="A4" s="10" t="s">
        <v>14</v>
      </c>
      <c r="B4" s="10" t="s">
        <v>15</v>
      </c>
      <c r="C4" s="11" t="s">
        <v>16</v>
      </c>
      <c r="D4" s="10" t="s">
        <v>17</v>
      </c>
      <c r="E4" s="10" t="s">
        <v>18</v>
      </c>
      <c r="F4" s="12">
        <v>4250</v>
      </c>
      <c r="G4" s="10">
        <v>18</v>
      </c>
      <c r="H4" s="10" t="s">
        <v>19</v>
      </c>
      <c r="I4" s="13">
        <v>48.2</v>
      </c>
      <c r="J4" s="13">
        <v>41.5</v>
      </c>
      <c r="K4" s="13">
        <v>412</v>
      </c>
      <c r="L4" s="13">
        <v>468</v>
      </c>
      <c r="M4" s="14">
        <v>-0.12</v>
      </c>
    </row>
    <row r="5" spans="1:13" ht="15" customHeight="1" x14ac:dyDescent="0.35">
      <c r="A5" s="15" t="s">
        <v>20</v>
      </c>
      <c r="B5" s="15" t="s">
        <v>21</v>
      </c>
      <c r="C5" s="16" t="s">
        <v>22</v>
      </c>
      <c r="D5" s="15" t="s">
        <v>23</v>
      </c>
      <c r="E5" s="15" t="s">
        <v>18</v>
      </c>
      <c r="F5" s="17">
        <v>12800</v>
      </c>
      <c r="G5" s="15">
        <v>24</v>
      </c>
      <c r="H5" s="15" t="s">
        <v>24</v>
      </c>
      <c r="I5" s="18">
        <v>51.3</v>
      </c>
      <c r="J5" s="18">
        <v>44.1</v>
      </c>
      <c r="K5" s="18">
        <v>528</v>
      </c>
      <c r="L5" s="18">
        <v>621</v>
      </c>
      <c r="M5" s="19">
        <v>-0.15</v>
      </c>
    </row>
    <row r="6" spans="1:13" ht="15" customHeight="1" x14ac:dyDescent="0.35">
      <c r="A6" s="10" t="s">
        <v>25</v>
      </c>
      <c r="B6" s="10" t="s">
        <v>26</v>
      </c>
      <c r="C6" s="11" t="s">
        <v>27</v>
      </c>
      <c r="D6" s="10" t="s">
        <v>28</v>
      </c>
      <c r="E6" s="10" t="s">
        <v>18</v>
      </c>
      <c r="F6" s="12">
        <v>8650</v>
      </c>
      <c r="G6" s="10">
        <v>20</v>
      </c>
      <c r="H6" s="10" t="s">
        <v>29</v>
      </c>
      <c r="I6" s="13">
        <v>46.7</v>
      </c>
      <c r="J6" s="13">
        <v>39.799999999999997</v>
      </c>
      <c r="K6" s="13">
        <v>485</v>
      </c>
      <c r="L6" s="13">
        <v>542</v>
      </c>
      <c r="M6" s="14">
        <v>-0.105</v>
      </c>
    </row>
    <row r="7" spans="1:13" ht="15" customHeight="1" x14ac:dyDescent="0.35">
      <c r="A7" s="15" t="s">
        <v>30</v>
      </c>
      <c r="B7" s="15" t="s">
        <v>15</v>
      </c>
      <c r="C7" s="16" t="s">
        <v>31</v>
      </c>
      <c r="D7" s="15" t="s">
        <v>32</v>
      </c>
      <c r="E7" s="15" t="s">
        <v>18</v>
      </c>
      <c r="F7" s="17">
        <v>2850</v>
      </c>
      <c r="G7" s="15">
        <v>14</v>
      </c>
      <c r="H7" s="15" t="s">
        <v>33</v>
      </c>
      <c r="I7" s="18">
        <v>49.1</v>
      </c>
      <c r="J7" s="18">
        <v>42</v>
      </c>
      <c r="K7" s="18">
        <v>395</v>
      </c>
      <c r="L7" s="18">
        <v>458</v>
      </c>
      <c r="M7" s="19">
        <v>-0.13800000000000001</v>
      </c>
    </row>
    <row r="8" spans="1:13" ht="15" customHeight="1" x14ac:dyDescent="0.35">
      <c r="A8" s="10" t="s">
        <v>34</v>
      </c>
      <c r="B8" s="10" t="s">
        <v>21</v>
      </c>
      <c r="C8" s="11" t="s">
        <v>35</v>
      </c>
      <c r="D8" s="10" t="s">
        <v>17</v>
      </c>
      <c r="E8" s="10" t="s">
        <v>18</v>
      </c>
      <c r="F8" s="12">
        <v>23400</v>
      </c>
      <c r="G8" s="10">
        <v>30</v>
      </c>
      <c r="H8" s="10" t="s">
        <v>24</v>
      </c>
      <c r="I8" s="13">
        <v>50.8</v>
      </c>
      <c r="J8" s="13">
        <v>43.6</v>
      </c>
      <c r="K8" s="13">
        <v>562</v>
      </c>
      <c r="L8" s="13">
        <v>658</v>
      </c>
      <c r="M8" s="14">
        <v>-0.14599999999999999</v>
      </c>
    </row>
    <row r="9" spans="1:13" ht="15" customHeight="1" x14ac:dyDescent="0.35">
      <c r="A9" s="15" t="s">
        <v>36</v>
      </c>
      <c r="B9" s="15" t="s">
        <v>26</v>
      </c>
      <c r="C9" s="16" t="s">
        <v>37</v>
      </c>
      <c r="D9" s="15" t="s">
        <v>38</v>
      </c>
      <c r="E9" s="15" t="s">
        <v>18</v>
      </c>
      <c r="F9" s="17">
        <v>15200</v>
      </c>
      <c r="G9" s="15">
        <v>26</v>
      </c>
      <c r="H9" s="15" t="s">
        <v>39</v>
      </c>
      <c r="I9" s="18">
        <v>47.5</v>
      </c>
      <c r="J9" s="18">
        <v>40.200000000000003</v>
      </c>
      <c r="K9" s="18">
        <v>498</v>
      </c>
      <c r="L9" s="18">
        <v>562</v>
      </c>
      <c r="M9" s="19">
        <v>-0.114</v>
      </c>
    </row>
    <row r="10" spans="1:13" ht="15" customHeight="1" x14ac:dyDescent="0.35">
      <c r="A10" s="10" t="s">
        <v>40</v>
      </c>
      <c r="B10" s="10" t="s">
        <v>15</v>
      </c>
      <c r="C10" s="11" t="s">
        <v>41</v>
      </c>
      <c r="D10" s="10" t="s">
        <v>42</v>
      </c>
      <c r="E10" s="10" t="s">
        <v>18</v>
      </c>
      <c r="F10" s="12">
        <v>6100</v>
      </c>
      <c r="G10" s="10">
        <v>16</v>
      </c>
      <c r="H10" s="10" t="s">
        <v>33</v>
      </c>
      <c r="I10" s="13">
        <v>52.1</v>
      </c>
      <c r="J10" s="13">
        <v>44.8</v>
      </c>
      <c r="K10" s="13">
        <v>438</v>
      </c>
      <c r="L10" s="13">
        <v>527</v>
      </c>
      <c r="M10" s="14">
        <v>-0.16900000000000001</v>
      </c>
    </row>
    <row r="11" spans="1:13" ht="15" customHeight="1" x14ac:dyDescent="0.35">
      <c r="A11" s="15" t="s">
        <v>43</v>
      </c>
      <c r="B11" s="15" t="s">
        <v>21</v>
      </c>
      <c r="C11" s="16" t="s">
        <v>44</v>
      </c>
      <c r="D11" s="15" t="s">
        <v>23</v>
      </c>
      <c r="E11" s="15" t="s">
        <v>18</v>
      </c>
      <c r="F11" s="17">
        <v>31500</v>
      </c>
      <c r="G11" s="15">
        <v>32</v>
      </c>
      <c r="H11" s="15" t="s">
        <v>45</v>
      </c>
      <c r="I11" s="18">
        <v>48.9</v>
      </c>
      <c r="J11" s="18">
        <v>41.9</v>
      </c>
      <c r="K11" s="18">
        <v>545</v>
      </c>
      <c r="L11" s="18">
        <v>628</v>
      </c>
      <c r="M11" s="19">
        <v>-0.13200000000000001</v>
      </c>
    </row>
    <row r="12" spans="1:13" ht="15" customHeight="1" x14ac:dyDescent="0.35">
      <c r="A12" s="10" t="s">
        <v>46</v>
      </c>
      <c r="B12" s="10" t="s">
        <v>26</v>
      </c>
      <c r="C12" s="11" t="s">
        <v>47</v>
      </c>
      <c r="D12" s="10" t="s">
        <v>48</v>
      </c>
      <c r="E12" s="10" t="s">
        <v>49</v>
      </c>
      <c r="F12" s="12">
        <v>9800</v>
      </c>
      <c r="G12" s="10">
        <v>22</v>
      </c>
      <c r="H12" s="10" t="s">
        <v>33</v>
      </c>
      <c r="I12" s="13">
        <v>45.8</v>
      </c>
      <c r="J12" s="13">
        <v>38.5</v>
      </c>
      <c r="K12" s="13">
        <v>472</v>
      </c>
      <c r="L12" s="13">
        <v>518</v>
      </c>
      <c r="M12" s="14">
        <v>-8.8999999999999996E-2</v>
      </c>
    </row>
    <row r="13" spans="1:13" ht="15" customHeight="1" x14ac:dyDescent="0.35">
      <c r="A13" s="15" t="s">
        <v>50</v>
      </c>
      <c r="B13" s="15" t="s">
        <v>15</v>
      </c>
      <c r="C13" s="16" t="s">
        <v>51</v>
      </c>
      <c r="D13" s="15" t="s">
        <v>52</v>
      </c>
      <c r="E13" s="15" t="s">
        <v>18</v>
      </c>
      <c r="F13" s="17">
        <v>5400</v>
      </c>
      <c r="G13" s="15">
        <v>15</v>
      </c>
      <c r="H13" s="15" t="s">
        <v>53</v>
      </c>
      <c r="I13" s="18">
        <v>47.3</v>
      </c>
      <c r="J13" s="18">
        <v>40.1</v>
      </c>
      <c r="K13" s="18">
        <v>418</v>
      </c>
      <c r="L13" s="18">
        <v>472</v>
      </c>
      <c r="M13" s="19">
        <v>-0.114</v>
      </c>
    </row>
    <row r="14" spans="1:13" ht="15" customHeight="1" x14ac:dyDescent="0.35">
      <c r="A14" s="10" t="s">
        <v>54</v>
      </c>
      <c r="B14" s="10" t="s">
        <v>21</v>
      </c>
      <c r="C14" s="11" t="s">
        <v>16</v>
      </c>
      <c r="D14" s="10" t="s">
        <v>17</v>
      </c>
      <c r="E14" s="10" t="s">
        <v>18</v>
      </c>
      <c r="F14" s="12">
        <v>47200</v>
      </c>
      <c r="G14" s="10">
        <v>36</v>
      </c>
      <c r="H14" s="10" t="s">
        <v>55</v>
      </c>
      <c r="I14" s="13">
        <v>49.7</v>
      </c>
      <c r="J14" s="13">
        <v>42.8</v>
      </c>
      <c r="K14" s="13">
        <v>591</v>
      </c>
      <c r="L14" s="13">
        <v>695</v>
      </c>
      <c r="M14" s="14">
        <v>-0.15</v>
      </c>
    </row>
    <row r="15" spans="1:13" ht="15" customHeight="1" x14ac:dyDescent="0.35">
      <c r="A15" s="15" t="s">
        <v>56</v>
      </c>
      <c r="B15" s="15" t="s">
        <v>26</v>
      </c>
      <c r="C15" s="16" t="s">
        <v>57</v>
      </c>
      <c r="D15" s="15" t="s">
        <v>58</v>
      </c>
      <c r="E15" s="15" t="s">
        <v>49</v>
      </c>
      <c r="F15" s="17">
        <v>18600</v>
      </c>
      <c r="G15" s="15">
        <v>28</v>
      </c>
      <c r="H15" s="15" t="s">
        <v>59</v>
      </c>
      <c r="I15" s="18">
        <v>46.2</v>
      </c>
      <c r="J15" s="18">
        <v>38.9</v>
      </c>
      <c r="K15" s="18">
        <v>512</v>
      </c>
      <c r="L15" s="18">
        <v>578</v>
      </c>
      <c r="M15" s="19">
        <v>-0.114</v>
      </c>
    </row>
    <row r="16" spans="1:13" ht="15.75" customHeight="1" x14ac:dyDescent="0.35">
      <c r="A16" s="6" t="s">
        <v>60</v>
      </c>
      <c r="B16" s="6"/>
      <c r="C16" s="6"/>
      <c r="D16" s="6"/>
      <c r="E16" s="6"/>
      <c r="F16" s="20">
        <f>SUM(F4:F15)</f>
        <v>185750</v>
      </c>
      <c r="G16" s="21">
        <f>AVERAGE(G4:G15)</f>
        <v>23.416666666666668</v>
      </c>
      <c r="I16" s="21">
        <f>AVERAGE(I4:I15)</f>
        <v>48.633333333333333</v>
      </c>
      <c r="J16" s="21">
        <f>AVERAGE(J4:J15)</f>
        <v>41.516666666666666</v>
      </c>
      <c r="K16" s="21">
        <f>AVERAGE(K4:K15)</f>
        <v>488</v>
      </c>
      <c r="L16" s="21">
        <f>AVERAGE(L4:L15)</f>
        <v>560.58333333333337</v>
      </c>
      <c r="M16" s="22">
        <f>AVERAGE(M4:M15)</f>
        <v>-0.12841666666666668</v>
      </c>
    </row>
    <row r="18" spans="1:13" ht="36" customHeight="1" x14ac:dyDescent="0.35">
      <c r="A18" s="5" t="s">
        <v>61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</sheetData>
  <mergeCells count="4">
    <mergeCell ref="A1:M1"/>
    <mergeCell ref="A2:M2"/>
    <mergeCell ref="A16:E16"/>
    <mergeCell ref="A18:M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0" customWidth="1"/>
    <col min="3" max="3" width="14" customWidth="1"/>
    <col min="4" max="4" width="10" customWidth="1"/>
    <col min="5" max="5" width="11" customWidth="1"/>
    <col min="6" max="6" width="12" customWidth="1"/>
    <col min="7" max="7" width="10" customWidth="1"/>
    <col min="8" max="8" width="12" customWidth="1"/>
    <col min="9" max="11" width="10" customWidth="1"/>
    <col min="12" max="12" width="13" customWidth="1"/>
    <col min="13" max="13" width="14" customWidth="1"/>
    <col min="14" max="14" width="13" customWidth="1"/>
    <col min="15" max="15" width="11" customWidth="1"/>
  </cols>
  <sheetData>
    <row r="1" spans="1:15" ht="24" customHeight="1" x14ac:dyDescent="0.35">
      <c r="A1" s="8" t="s">
        <v>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30" customHeight="1" x14ac:dyDescent="0.35">
      <c r="A2" s="4" t="s">
        <v>1</v>
      </c>
      <c r="B2" s="4" t="s">
        <v>6</v>
      </c>
      <c r="C2" s="4" t="s">
        <v>3</v>
      </c>
      <c r="D2" s="3" t="s">
        <v>63</v>
      </c>
      <c r="E2" s="3"/>
      <c r="F2" s="3"/>
      <c r="G2" s="3" t="s">
        <v>64</v>
      </c>
      <c r="H2" s="3"/>
      <c r="I2" s="4" t="s">
        <v>65</v>
      </c>
      <c r="J2" s="4" t="s">
        <v>66</v>
      </c>
      <c r="K2" s="4" t="s">
        <v>67</v>
      </c>
      <c r="L2" s="4" t="s">
        <v>68</v>
      </c>
      <c r="M2" s="4" t="s">
        <v>69</v>
      </c>
      <c r="N2" s="4" t="s">
        <v>70</v>
      </c>
      <c r="O2" s="4" t="s">
        <v>71</v>
      </c>
    </row>
    <row r="3" spans="1:15" ht="30" customHeight="1" x14ac:dyDescent="0.35">
      <c r="A3" s="4"/>
      <c r="B3" s="4"/>
      <c r="C3" s="4"/>
      <c r="D3" s="23" t="s">
        <v>72</v>
      </c>
      <c r="E3" s="23" t="s">
        <v>73</v>
      </c>
      <c r="F3" s="23" t="s">
        <v>74</v>
      </c>
      <c r="G3" s="23" t="s">
        <v>75</v>
      </c>
      <c r="H3" s="23" t="s">
        <v>74</v>
      </c>
      <c r="I3" s="4"/>
      <c r="J3" s="4"/>
      <c r="K3" s="4"/>
      <c r="L3" s="4"/>
      <c r="M3" s="4"/>
      <c r="N3" s="4"/>
      <c r="O3" s="4"/>
    </row>
    <row r="4" spans="1:15" ht="15" customHeight="1" x14ac:dyDescent="0.35">
      <c r="A4" s="10" t="s">
        <v>14</v>
      </c>
      <c r="B4" s="12">
        <v>4250</v>
      </c>
      <c r="C4" s="11" t="s">
        <v>16</v>
      </c>
      <c r="D4" s="12">
        <v>1488</v>
      </c>
      <c r="E4" s="24">
        <v>330</v>
      </c>
      <c r="F4" s="12">
        <v>491040</v>
      </c>
      <c r="G4" s="12">
        <v>255</v>
      </c>
      <c r="H4" s="12">
        <v>372300</v>
      </c>
      <c r="I4" s="12">
        <v>34000</v>
      </c>
      <c r="J4" s="12">
        <v>3400</v>
      </c>
      <c r="K4" s="12">
        <v>638</v>
      </c>
      <c r="L4" s="12">
        <v>1751000</v>
      </c>
      <c r="M4" s="12">
        <v>1989000</v>
      </c>
      <c r="N4" s="12">
        <v>238000</v>
      </c>
      <c r="O4" s="25">
        <v>13.59</v>
      </c>
    </row>
    <row r="5" spans="1:15" ht="15" customHeight="1" x14ac:dyDescent="0.35">
      <c r="A5" s="15" t="s">
        <v>20</v>
      </c>
      <c r="B5" s="17">
        <v>12800</v>
      </c>
      <c r="C5" s="16" t="s">
        <v>22</v>
      </c>
      <c r="D5" s="17">
        <v>4480</v>
      </c>
      <c r="E5" s="26">
        <v>332</v>
      </c>
      <c r="F5" s="17">
        <v>1487360</v>
      </c>
      <c r="G5" s="17">
        <v>768</v>
      </c>
      <c r="H5" s="17">
        <v>1121280</v>
      </c>
      <c r="I5" s="17">
        <v>102400</v>
      </c>
      <c r="J5" s="17">
        <v>10240</v>
      </c>
      <c r="K5" s="17">
        <v>1920</v>
      </c>
      <c r="L5" s="17">
        <v>6758400</v>
      </c>
      <c r="M5" s="17">
        <v>7948800</v>
      </c>
      <c r="N5" s="17">
        <v>1190400</v>
      </c>
      <c r="O5" s="27">
        <v>17.61</v>
      </c>
    </row>
    <row r="6" spans="1:15" ht="15" customHeight="1" x14ac:dyDescent="0.35">
      <c r="A6" s="10" t="s">
        <v>25</v>
      </c>
      <c r="B6" s="12">
        <v>8650</v>
      </c>
      <c r="C6" s="11" t="s">
        <v>27</v>
      </c>
      <c r="D6" s="12">
        <v>3028</v>
      </c>
      <c r="E6" s="24">
        <v>329</v>
      </c>
      <c r="F6" s="12">
        <v>996212</v>
      </c>
      <c r="G6" s="12">
        <v>519</v>
      </c>
      <c r="H6" s="12">
        <v>757740</v>
      </c>
      <c r="I6" s="12">
        <v>69200</v>
      </c>
      <c r="J6" s="12">
        <v>6920</v>
      </c>
      <c r="K6" s="12">
        <v>1298</v>
      </c>
      <c r="L6" s="12">
        <v>4195250</v>
      </c>
      <c r="M6" s="12">
        <v>4688300</v>
      </c>
      <c r="N6" s="12">
        <v>493050</v>
      </c>
      <c r="O6" s="25">
        <v>11.75</v>
      </c>
    </row>
    <row r="7" spans="1:15" ht="15" customHeight="1" x14ac:dyDescent="0.35">
      <c r="A7" s="15" t="s">
        <v>30</v>
      </c>
      <c r="B7" s="17">
        <v>2850</v>
      </c>
      <c r="C7" s="16" t="s">
        <v>31</v>
      </c>
      <c r="D7" s="17">
        <v>998</v>
      </c>
      <c r="E7" s="26">
        <v>330</v>
      </c>
      <c r="F7" s="17">
        <v>329340</v>
      </c>
      <c r="G7" s="17">
        <v>171</v>
      </c>
      <c r="H7" s="17">
        <v>249660</v>
      </c>
      <c r="I7" s="17">
        <v>22800</v>
      </c>
      <c r="J7" s="17">
        <v>2280</v>
      </c>
      <c r="K7" s="17">
        <v>428</v>
      </c>
      <c r="L7" s="17">
        <v>1125750</v>
      </c>
      <c r="M7" s="17">
        <v>1305300</v>
      </c>
      <c r="N7" s="17">
        <v>179550</v>
      </c>
      <c r="O7" s="27">
        <v>15.95</v>
      </c>
    </row>
    <row r="8" spans="1:15" ht="15" customHeight="1" x14ac:dyDescent="0.35">
      <c r="A8" s="10" t="s">
        <v>34</v>
      </c>
      <c r="B8" s="12">
        <v>23400</v>
      </c>
      <c r="C8" s="11" t="s">
        <v>35</v>
      </c>
      <c r="D8" s="12">
        <v>8190</v>
      </c>
      <c r="E8" s="24">
        <v>333</v>
      </c>
      <c r="F8" s="12">
        <v>2727270</v>
      </c>
      <c r="G8" s="12">
        <v>1404</v>
      </c>
      <c r="H8" s="12">
        <v>2049840</v>
      </c>
      <c r="I8" s="12">
        <v>187200</v>
      </c>
      <c r="J8" s="12">
        <v>18720</v>
      </c>
      <c r="K8" s="12">
        <v>3510</v>
      </c>
      <c r="L8" s="12">
        <v>13150800</v>
      </c>
      <c r="M8" s="12">
        <v>15397200</v>
      </c>
      <c r="N8" s="12">
        <v>2246400</v>
      </c>
      <c r="O8" s="25">
        <v>17.079999999999998</v>
      </c>
    </row>
    <row r="9" spans="1:15" ht="15" customHeight="1" x14ac:dyDescent="0.35">
      <c r="A9" s="15" t="s">
        <v>36</v>
      </c>
      <c r="B9" s="17">
        <v>15200</v>
      </c>
      <c r="C9" s="16" t="s">
        <v>37</v>
      </c>
      <c r="D9" s="17">
        <v>5320</v>
      </c>
      <c r="E9" s="26">
        <v>330</v>
      </c>
      <c r="F9" s="17">
        <v>1755600</v>
      </c>
      <c r="G9" s="17">
        <v>912</v>
      </c>
      <c r="H9" s="17">
        <v>1331520</v>
      </c>
      <c r="I9" s="17">
        <v>121600</v>
      </c>
      <c r="J9" s="17">
        <v>12160</v>
      </c>
      <c r="K9" s="17">
        <v>2280</v>
      </c>
      <c r="L9" s="17">
        <v>7569600</v>
      </c>
      <c r="M9" s="17">
        <v>8542400</v>
      </c>
      <c r="N9" s="17">
        <v>972800</v>
      </c>
      <c r="O9" s="27">
        <v>12.85</v>
      </c>
    </row>
    <row r="10" spans="1:15" ht="15" customHeight="1" x14ac:dyDescent="0.35">
      <c r="A10" s="10" t="s">
        <v>40</v>
      </c>
      <c r="B10" s="12">
        <v>6100</v>
      </c>
      <c r="C10" s="11" t="s">
        <v>41</v>
      </c>
      <c r="D10" s="12">
        <v>2135</v>
      </c>
      <c r="E10" s="24">
        <v>334</v>
      </c>
      <c r="F10" s="12">
        <v>713090</v>
      </c>
      <c r="G10" s="12">
        <v>366</v>
      </c>
      <c r="H10" s="12">
        <v>534360</v>
      </c>
      <c r="I10" s="12">
        <v>48800</v>
      </c>
      <c r="J10" s="12">
        <v>4880</v>
      </c>
      <c r="K10" s="12">
        <v>915</v>
      </c>
      <c r="L10" s="12">
        <v>2671800</v>
      </c>
      <c r="M10" s="12">
        <v>3214700</v>
      </c>
      <c r="N10" s="12">
        <v>542900</v>
      </c>
      <c r="O10" s="25">
        <v>20.32</v>
      </c>
    </row>
    <row r="11" spans="1:15" ht="15" customHeight="1" x14ac:dyDescent="0.35">
      <c r="A11" s="15" t="s">
        <v>43</v>
      </c>
      <c r="B11" s="17">
        <v>31500</v>
      </c>
      <c r="C11" s="16" t="s">
        <v>44</v>
      </c>
      <c r="D11" s="17">
        <v>11025</v>
      </c>
      <c r="E11" s="26">
        <v>331</v>
      </c>
      <c r="F11" s="17">
        <v>3649275</v>
      </c>
      <c r="G11" s="17">
        <v>1890</v>
      </c>
      <c r="H11" s="17">
        <v>2759400</v>
      </c>
      <c r="I11" s="17">
        <v>252000</v>
      </c>
      <c r="J11" s="17">
        <v>25200</v>
      </c>
      <c r="K11" s="17">
        <v>4725</v>
      </c>
      <c r="L11" s="17">
        <v>17167500</v>
      </c>
      <c r="M11" s="17">
        <v>19782000</v>
      </c>
      <c r="N11" s="17">
        <v>2614500</v>
      </c>
      <c r="O11" s="27">
        <v>15.23</v>
      </c>
    </row>
    <row r="12" spans="1:15" ht="15" customHeight="1" x14ac:dyDescent="0.35">
      <c r="A12" s="10" t="s">
        <v>46</v>
      </c>
      <c r="B12" s="12">
        <v>9800</v>
      </c>
      <c r="C12" s="11" t="s">
        <v>47</v>
      </c>
      <c r="D12" s="12">
        <v>3430</v>
      </c>
      <c r="E12" s="24">
        <v>328</v>
      </c>
      <c r="F12" s="12">
        <v>1125040</v>
      </c>
      <c r="G12" s="12">
        <v>588</v>
      </c>
      <c r="H12" s="12">
        <v>858480</v>
      </c>
      <c r="I12" s="12">
        <v>78400</v>
      </c>
      <c r="J12" s="12">
        <v>7840</v>
      </c>
      <c r="K12" s="12">
        <v>1470</v>
      </c>
      <c r="L12" s="12">
        <v>4625600</v>
      </c>
      <c r="M12" s="12">
        <v>5076400</v>
      </c>
      <c r="N12" s="12">
        <v>450800</v>
      </c>
      <c r="O12" s="25">
        <v>9.75</v>
      </c>
    </row>
    <row r="13" spans="1:15" ht="15" customHeight="1" x14ac:dyDescent="0.35">
      <c r="A13" s="15" t="s">
        <v>50</v>
      </c>
      <c r="B13" s="17">
        <v>5400</v>
      </c>
      <c r="C13" s="16" t="s">
        <v>51</v>
      </c>
      <c r="D13" s="17">
        <v>1890</v>
      </c>
      <c r="E13" s="26">
        <v>330</v>
      </c>
      <c r="F13" s="17">
        <v>623700</v>
      </c>
      <c r="G13" s="17">
        <v>324</v>
      </c>
      <c r="H13" s="17">
        <v>473040</v>
      </c>
      <c r="I13" s="17">
        <v>43200</v>
      </c>
      <c r="J13" s="17">
        <v>4320</v>
      </c>
      <c r="K13" s="17">
        <v>810</v>
      </c>
      <c r="L13" s="17">
        <v>2257200</v>
      </c>
      <c r="M13" s="17">
        <v>2548800</v>
      </c>
      <c r="N13" s="17">
        <v>291600</v>
      </c>
      <c r="O13" s="27">
        <v>12.92</v>
      </c>
    </row>
    <row r="14" spans="1:15" ht="15" customHeight="1" x14ac:dyDescent="0.35">
      <c r="A14" s="10" t="s">
        <v>54</v>
      </c>
      <c r="B14" s="12">
        <v>47200</v>
      </c>
      <c r="C14" s="11" t="s">
        <v>16</v>
      </c>
      <c r="D14" s="12">
        <v>16520</v>
      </c>
      <c r="E14" s="24">
        <v>332</v>
      </c>
      <c r="F14" s="12">
        <v>5484640</v>
      </c>
      <c r="G14" s="12">
        <v>2832</v>
      </c>
      <c r="H14" s="12">
        <v>4134720</v>
      </c>
      <c r="I14" s="12">
        <v>377600</v>
      </c>
      <c r="J14" s="12">
        <v>37760</v>
      </c>
      <c r="K14" s="12">
        <v>7080</v>
      </c>
      <c r="L14" s="12">
        <v>27895200</v>
      </c>
      <c r="M14" s="12">
        <v>32804000</v>
      </c>
      <c r="N14" s="12">
        <v>4908800</v>
      </c>
      <c r="O14" s="25">
        <v>17.600000000000001</v>
      </c>
    </row>
    <row r="15" spans="1:15" ht="15" customHeight="1" x14ac:dyDescent="0.35">
      <c r="A15" s="15" t="s">
        <v>56</v>
      </c>
      <c r="B15" s="17">
        <v>18600</v>
      </c>
      <c r="C15" s="16" t="s">
        <v>57</v>
      </c>
      <c r="D15" s="17">
        <v>6510</v>
      </c>
      <c r="E15" s="26">
        <v>329</v>
      </c>
      <c r="F15" s="17">
        <v>2141790</v>
      </c>
      <c r="G15" s="17">
        <v>1116</v>
      </c>
      <c r="H15" s="17">
        <v>1629360</v>
      </c>
      <c r="I15" s="17">
        <v>148800</v>
      </c>
      <c r="J15" s="17">
        <v>14880</v>
      </c>
      <c r="K15" s="17">
        <v>2790</v>
      </c>
      <c r="L15" s="17">
        <v>9523200</v>
      </c>
      <c r="M15" s="17">
        <v>10750800</v>
      </c>
      <c r="N15" s="17">
        <v>1227600</v>
      </c>
      <c r="O15" s="27">
        <v>12.89</v>
      </c>
    </row>
    <row r="16" spans="1:15" ht="15.75" customHeight="1" x14ac:dyDescent="0.35">
      <c r="A16" s="6" t="s">
        <v>76</v>
      </c>
      <c r="B16" s="6"/>
      <c r="C16" s="6"/>
      <c r="D16" s="20">
        <f t="shared" ref="D16:O16" si="0">SUM(D4:D15)</f>
        <v>65014</v>
      </c>
      <c r="E16" s="20">
        <f t="shared" si="0"/>
        <v>3968</v>
      </c>
      <c r="F16" s="20">
        <f t="shared" si="0"/>
        <v>21524357</v>
      </c>
      <c r="G16" s="20">
        <f t="shared" si="0"/>
        <v>11145</v>
      </c>
      <c r="H16" s="20">
        <f t="shared" si="0"/>
        <v>16271700</v>
      </c>
      <c r="I16" s="20">
        <f t="shared" si="0"/>
        <v>1486000</v>
      </c>
      <c r="J16" s="20">
        <f t="shared" si="0"/>
        <v>148600</v>
      </c>
      <c r="K16" s="20">
        <f t="shared" si="0"/>
        <v>27864</v>
      </c>
      <c r="L16" s="20">
        <f t="shared" si="0"/>
        <v>98691300</v>
      </c>
      <c r="M16" s="20">
        <f t="shared" si="0"/>
        <v>114047700</v>
      </c>
      <c r="N16" s="20">
        <f t="shared" si="0"/>
        <v>15356400</v>
      </c>
      <c r="O16" s="20">
        <f t="shared" si="0"/>
        <v>177.53999999999996</v>
      </c>
    </row>
    <row r="18" spans="1:15" ht="43.5" customHeight="1" x14ac:dyDescent="0.35">
      <c r="A18" s="5" t="s">
        <v>77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</sheetData>
  <mergeCells count="15">
    <mergeCell ref="A16:C16"/>
    <mergeCell ref="A18:O18"/>
    <mergeCell ref="A1:O1"/>
    <mergeCell ref="A2:A3"/>
    <mergeCell ref="B2:B3"/>
    <mergeCell ref="C2:C3"/>
    <mergeCell ref="D2:F2"/>
    <mergeCell ref="G2:H2"/>
    <mergeCell ref="I2:I3"/>
    <mergeCell ref="J2:J3"/>
    <mergeCell ref="K2:K3"/>
    <mergeCell ref="L2:L3"/>
    <mergeCell ref="M2:M3"/>
    <mergeCell ref="N2:N3"/>
    <mergeCell ref="O2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8" customWidth="1"/>
    <col min="3" max="3" width="11" customWidth="1"/>
    <col min="4" max="6" width="9" customWidth="1"/>
    <col min="7" max="8" width="10" customWidth="1"/>
    <col min="9" max="9" width="12" customWidth="1"/>
    <col min="10" max="10" width="13" customWidth="1"/>
    <col min="11" max="11" width="14" customWidth="1"/>
    <col min="12" max="12" width="10" customWidth="1"/>
    <col min="13" max="13" width="28" customWidth="1"/>
    <col min="14" max="14" width="11" customWidth="1"/>
  </cols>
  <sheetData>
    <row r="1" spans="1:14" ht="24" customHeight="1" x14ac:dyDescent="0.35">
      <c r="A1" s="8" t="s">
        <v>78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ht="36" customHeight="1" x14ac:dyDescent="0.35">
      <c r="A3" s="9" t="s">
        <v>1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83</v>
      </c>
      <c r="G3" s="9" t="s">
        <v>84</v>
      </c>
      <c r="H3" s="9" t="s">
        <v>85</v>
      </c>
      <c r="I3" s="9" t="s">
        <v>86</v>
      </c>
      <c r="J3" s="9" t="s">
        <v>68</v>
      </c>
      <c r="K3" s="9" t="s">
        <v>87</v>
      </c>
      <c r="L3" s="9" t="s">
        <v>88</v>
      </c>
      <c r="M3" s="9" t="s">
        <v>89</v>
      </c>
      <c r="N3" s="9" t="s">
        <v>90</v>
      </c>
    </row>
    <row r="4" spans="1:14" ht="12.75" customHeight="1" x14ac:dyDescent="0.35">
      <c r="A4" s="10" t="s">
        <v>14</v>
      </c>
      <c r="B4" s="11" t="s">
        <v>91</v>
      </c>
      <c r="C4" s="13">
        <v>38.799999999999997</v>
      </c>
      <c r="D4" s="13">
        <v>22</v>
      </c>
      <c r="E4" s="13">
        <v>16.8</v>
      </c>
      <c r="F4" s="13">
        <v>28.2</v>
      </c>
      <c r="G4" s="13">
        <v>38.19</v>
      </c>
      <c r="H4" s="28">
        <v>0.89300000000000002</v>
      </c>
      <c r="I4" s="28">
        <v>1.7810999999999999</v>
      </c>
      <c r="J4" s="29">
        <v>400.9</v>
      </c>
      <c r="K4" s="29">
        <v>210.4</v>
      </c>
      <c r="L4" s="13">
        <v>52.5</v>
      </c>
      <c r="M4" s="11" t="s">
        <v>92</v>
      </c>
      <c r="N4" s="13">
        <v>10.8</v>
      </c>
    </row>
    <row r="5" spans="1:14" ht="12.75" customHeight="1" x14ac:dyDescent="0.35">
      <c r="A5" s="15" t="s">
        <v>14</v>
      </c>
      <c r="B5" s="16" t="s">
        <v>93</v>
      </c>
      <c r="C5" s="18">
        <v>39.700000000000003</v>
      </c>
      <c r="D5" s="18">
        <v>22</v>
      </c>
      <c r="E5" s="18">
        <v>17.7</v>
      </c>
      <c r="F5" s="18">
        <v>33.6</v>
      </c>
      <c r="G5" s="18">
        <v>40.130000000000003</v>
      </c>
      <c r="H5" s="30">
        <v>0.872</v>
      </c>
      <c r="I5" s="30">
        <v>1.8582000000000001</v>
      </c>
      <c r="J5" s="31">
        <v>226.8</v>
      </c>
      <c r="K5" s="31">
        <v>131.69999999999999</v>
      </c>
      <c r="L5" s="18">
        <v>58.1</v>
      </c>
      <c r="M5" s="16" t="s">
        <v>94</v>
      </c>
      <c r="N5" s="18">
        <v>6.3</v>
      </c>
    </row>
    <row r="6" spans="1:14" ht="12.75" customHeight="1" x14ac:dyDescent="0.35">
      <c r="A6" s="10" t="s">
        <v>14</v>
      </c>
      <c r="B6" s="11" t="s">
        <v>95</v>
      </c>
      <c r="C6" s="13">
        <v>38.9</v>
      </c>
      <c r="D6" s="13">
        <v>22</v>
      </c>
      <c r="E6" s="13">
        <v>16.899999999999999</v>
      </c>
      <c r="F6" s="13">
        <v>25.4</v>
      </c>
      <c r="G6" s="13">
        <v>37.69</v>
      </c>
      <c r="H6" s="28">
        <v>0.89900000000000002</v>
      </c>
      <c r="I6" s="28">
        <v>1.7895000000000001</v>
      </c>
      <c r="J6" s="29">
        <v>784.9</v>
      </c>
      <c r="K6" s="29">
        <v>414.3</v>
      </c>
      <c r="L6" s="13">
        <v>52.8</v>
      </c>
      <c r="M6" s="11" t="s">
        <v>96</v>
      </c>
      <c r="N6" s="13">
        <v>8.1999999999999993</v>
      </c>
    </row>
    <row r="7" spans="1:14" ht="12.75" customHeight="1" x14ac:dyDescent="0.35">
      <c r="A7" s="15" t="s">
        <v>14</v>
      </c>
      <c r="B7" s="16" t="s">
        <v>97</v>
      </c>
      <c r="C7" s="18">
        <v>46.5</v>
      </c>
      <c r="D7" s="18">
        <v>22</v>
      </c>
      <c r="E7" s="18">
        <v>24.5</v>
      </c>
      <c r="F7" s="18">
        <v>47.9</v>
      </c>
      <c r="G7" s="18">
        <v>49.2</v>
      </c>
      <c r="H7" s="30">
        <v>0.77200000000000002</v>
      </c>
      <c r="I7" s="30">
        <v>2.5615999999999999</v>
      </c>
      <c r="J7" s="31">
        <v>205.8</v>
      </c>
      <c r="K7" s="31">
        <v>217.1</v>
      </c>
      <c r="L7" s="18">
        <v>105.5</v>
      </c>
      <c r="M7" s="16" t="s">
        <v>94</v>
      </c>
      <c r="N7" s="18">
        <v>11</v>
      </c>
    </row>
    <row r="8" spans="1:14" ht="12.75" customHeight="1" x14ac:dyDescent="0.35">
      <c r="A8" s="10" t="s">
        <v>14</v>
      </c>
      <c r="B8" s="11" t="s">
        <v>98</v>
      </c>
      <c r="C8" s="13">
        <v>42.3</v>
      </c>
      <c r="D8" s="13">
        <v>22</v>
      </c>
      <c r="E8" s="13">
        <v>20.3</v>
      </c>
      <c r="F8" s="13">
        <v>26</v>
      </c>
      <c r="G8" s="13">
        <v>40.85</v>
      </c>
      <c r="H8" s="28">
        <v>0.86399999999999999</v>
      </c>
      <c r="I8" s="28">
        <v>2.1019000000000001</v>
      </c>
      <c r="J8" s="29">
        <v>887.1</v>
      </c>
      <c r="K8" s="29">
        <v>651.9</v>
      </c>
      <c r="L8" s="13">
        <v>73.5</v>
      </c>
      <c r="M8" s="11" t="s">
        <v>92</v>
      </c>
      <c r="N8" s="13">
        <v>4.9000000000000004</v>
      </c>
    </row>
    <row r="9" spans="1:14" ht="12.75" customHeight="1" x14ac:dyDescent="0.35">
      <c r="A9" s="15" t="s">
        <v>20</v>
      </c>
      <c r="B9" s="16" t="s">
        <v>91</v>
      </c>
      <c r="C9" s="18">
        <v>43.3</v>
      </c>
      <c r="D9" s="18">
        <v>22</v>
      </c>
      <c r="E9" s="18">
        <v>21.3</v>
      </c>
      <c r="F9" s="18">
        <v>30.7</v>
      </c>
      <c r="G9" s="18">
        <v>42.73</v>
      </c>
      <c r="H9" s="30">
        <v>0.84299999999999997</v>
      </c>
      <c r="I9" s="30">
        <v>2.2039</v>
      </c>
      <c r="J9" s="31">
        <v>438.1</v>
      </c>
      <c r="K9" s="31">
        <v>353.1</v>
      </c>
      <c r="L9" s="18">
        <v>80.599999999999994</v>
      </c>
      <c r="M9" s="16" t="s">
        <v>92</v>
      </c>
      <c r="N9" s="18">
        <v>11.3</v>
      </c>
    </row>
    <row r="10" spans="1:14" ht="12.75" customHeight="1" x14ac:dyDescent="0.35">
      <c r="A10" s="10" t="s">
        <v>20</v>
      </c>
      <c r="B10" s="11" t="s">
        <v>93</v>
      </c>
      <c r="C10" s="13">
        <v>40.200000000000003</v>
      </c>
      <c r="D10" s="13">
        <v>22</v>
      </c>
      <c r="E10" s="13">
        <v>18.2</v>
      </c>
      <c r="F10" s="13">
        <v>52.1</v>
      </c>
      <c r="G10" s="13">
        <v>44.46</v>
      </c>
      <c r="H10" s="28">
        <v>0.82399999999999995</v>
      </c>
      <c r="I10" s="28">
        <v>1.9026000000000001</v>
      </c>
      <c r="J10" s="29">
        <v>270.89999999999998</v>
      </c>
      <c r="K10" s="29">
        <v>169.7</v>
      </c>
      <c r="L10" s="13">
        <v>62.6</v>
      </c>
      <c r="M10" s="11" t="s">
        <v>99</v>
      </c>
      <c r="N10" s="13">
        <v>12.3</v>
      </c>
    </row>
    <row r="11" spans="1:14" ht="12.75" customHeight="1" x14ac:dyDescent="0.35">
      <c r="A11" s="15" t="s">
        <v>20</v>
      </c>
      <c r="B11" s="16" t="s">
        <v>95</v>
      </c>
      <c r="C11" s="18">
        <v>50.5</v>
      </c>
      <c r="D11" s="18">
        <v>22</v>
      </c>
      <c r="E11" s="18">
        <v>28.5</v>
      </c>
      <c r="F11" s="18">
        <v>31.4</v>
      </c>
      <c r="G11" s="18">
        <v>49.3</v>
      </c>
      <c r="H11" s="30">
        <v>0.77100000000000002</v>
      </c>
      <c r="I11" s="30">
        <v>3.0760000000000001</v>
      </c>
      <c r="J11" s="31">
        <v>373.1</v>
      </c>
      <c r="K11" s="31">
        <v>512.70000000000005</v>
      </c>
      <c r="L11" s="18">
        <v>137.4</v>
      </c>
      <c r="M11" s="16" t="s">
        <v>92</v>
      </c>
      <c r="N11" s="18">
        <v>4.5</v>
      </c>
    </row>
    <row r="12" spans="1:14" ht="12.75" customHeight="1" x14ac:dyDescent="0.35">
      <c r="A12" s="10" t="s">
        <v>20</v>
      </c>
      <c r="B12" s="11" t="s">
        <v>100</v>
      </c>
      <c r="C12" s="13">
        <v>48.9</v>
      </c>
      <c r="D12" s="13">
        <v>22</v>
      </c>
      <c r="E12" s="13">
        <v>26.9</v>
      </c>
      <c r="F12" s="13">
        <v>54.5</v>
      </c>
      <c r="G12" s="13">
        <v>52.72</v>
      </c>
      <c r="H12" s="28">
        <v>0.73399999999999999</v>
      </c>
      <c r="I12" s="28">
        <v>2.8612000000000002</v>
      </c>
      <c r="J12" s="29">
        <v>969.8</v>
      </c>
      <c r="K12" s="29">
        <v>1217.0999999999999</v>
      </c>
      <c r="L12" s="13">
        <v>125.5</v>
      </c>
      <c r="M12" s="11" t="s">
        <v>92</v>
      </c>
      <c r="N12" s="13">
        <v>7.8</v>
      </c>
    </row>
    <row r="13" spans="1:14" ht="12.75" customHeight="1" x14ac:dyDescent="0.35">
      <c r="A13" s="15" t="s">
        <v>20</v>
      </c>
      <c r="B13" s="16" t="s">
        <v>97</v>
      </c>
      <c r="C13" s="18">
        <v>47.1</v>
      </c>
      <c r="D13" s="18">
        <v>22</v>
      </c>
      <c r="E13" s="18">
        <v>25.1</v>
      </c>
      <c r="F13" s="18">
        <v>31.5</v>
      </c>
      <c r="G13" s="18">
        <v>46.29</v>
      </c>
      <c r="H13" s="30">
        <v>0.80400000000000005</v>
      </c>
      <c r="I13" s="30">
        <v>2.6339999999999999</v>
      </c>
      <c r="J13" s="31">
        <v>533.20000000000005</v>
      </c>
      <c r="K13" s="31">
        <v>579.9</v>
      </c>
      <c r="L13" s="18">
        <v>108.8</v>
      </c>
      <c r="M13" s="16" t="s">
        <v>94</v>
      </c>
      <c r="N13" s="18">
        <v>10.7</v>
      </c>
    </row>
    <row r="14" spans="1:14" ht="12.75" customHeight="1" x14ac:dyDescent="0.35">
      <c r="A14" s="10" t="s">
        <v>25</v>
      </c>
      <c r="B14" s="11" t="s">
        <v>91</v>
      </c>
      <c r="C14" s="13">
        <v>46.7</v>
      </c>
      <c r="D14" s="13">
        <v>22</v>
      </c>
      <c r="E14" s="13">
        <v>24.7</v>
      </c>
      <c r="F14" s="13">
        <v>24.3</v>
      </c>
      <c r="G14" s="13">
        <v>44.42</v>
      </c>
      <c r="H14" s="28">
        <v>0.82499999999999996</v>
      </c>
      <c r="I14" s="28">
        <v>2.5855000000000001</v>
      </c>
      <c r="J14" s="29">
        <v>856.2</v>
      </c>
      <c r="K14" s="29">
        <v>898.6</v>
      </c>
      <c r="L14" s="13">
        <v>105</v>
      </c>
      <c r="M14" s="11" t="s">
        <v>94</v>
      </c>
      <c r="N14" s="13">
        <v>8.6</v>
      </c>
    </row>
    <row r="15" spans="1:14" ht="12.75" customHeight="1" x14ac:dyDescent="0.35">
      <c r="A15" s="15" t="s">
        <v>25</v>
      </c>
      <c r="B15" s="16" t="s">
        <v>101</v>
      </c>
      <c r="C15" s="18">
        <v>51.9</v>
      </c>
      <c r="D15" s="18">
        <v>22</v>
      </c>
      <c r="E15" s="18">
        <v>29.9</v>
      </c>
      <c r="F15" s="18">
        <v>41.7</v>
      </c>
      <c r="G15" s="18">
        <v>52.71</v>
      </c>
      <c r="H15" s="30">
        <v>0.73399999999999999</v>
      </c>
      <c r="I15" s="30">
        <v>3.2738</v>
      </c>
      <c r="J15" s="31">
        <v>701.3</v>
      </c>
      <c r="K15" s="31">
        <v>1059.5</v>
      </c>
      <c r="L15" s="18">
        <v>151.1</v>
      </c>
      <c r="M15" s="16" t="s">
        <v>99</v>
      </c>
      <c r="N15" s="18">
        <v>12.4</v>
      </c>
    </row>
    <row r="16" spans="1:14" ht="12.75" customHeight="1" x14ac:dyDescent="0.35">
      <c r="A16" s="10" t="s">
        <v>25</v>
      </c>
      <c r="B16" s="11" t="s">
        <v>102</v>
      </c>
      <c r="C16" s="13">
        <v>41.6</v>
      </c>
      <c r="D16" s="13">
        <v>22</v>
      </c>
      <c r="E16" s="13">
        <v>19.600000000000001</v>
      </c>
      <c r="F16" s="13">
        <v>19.2</v>
      </c>
      <c r="G16" s="13">
        <v>38.799999999999997</v>
      </c>
      <c r="H16" s="28">
        <v>0.88700000000000001</v>
      </c>
      <c r="I16" s="28">
        <v>2.0331999999999999</v>
      </c>
      <c r="J16" s="29">
        <v>483.9</v>
      </c>
      <c r="K16" s="29">
        <v>330.8</v>
      </c>
      <c r="L16" s="13">
        <v>68.400000000000006</v>
      </c>
      <c r="M16" s="11" t="s">
        <v>99</v>
      </c>
      <c r="N16" s="13">
        <v>4.7</v>
      </c>
    </row>
    <row r="17" spans="1:14" ht="12.75" customHeight="1" x14ac:dyDescent="0.35">
      <c r="A17" s="15" t="s">
        <v>25</v>
      </c>
      <c r="B17" s="16" t="s">
        <v>95</v>
      </c>
      <c r="C17" s="18">
        <v>50.3</v>
      </c>
      <c r="D17" s="18">
        <v>22</v>
      </c>
      <c r="E17" s="18">
        <v>28.3</v>
      </c>
      <c r="F17" s="18">
        <v>29.6</v>
      </c>
      <c r="G17" s="18">
        <v>48.74</v>
      </c>
      <c r="H17" s="30">
        <v>0.77700000000000002</v>
      </c>
      <c r="I17" s="30">
        <v>3.0485000000000002</v>
      </c>
      <c r="J17" s="31">
        <v>789.9</v>
      </c>
      <c r="K17" s="31">
        <v>1070.2</v>
      </c>
      <c r="L17" s="18">
        <v>135.5</v>
      </c>
      <c r="M17" s="16" t="s">
        <v>103</v>
      </c>
      <c r="N17" s="18">
        <v>12.8</v>
      </c>
    </row>
    <row r="18" spans="1:14" ht="12.75" customHeight="1" x14ac:dyDescent="0.35">
      <c r="A18" s="10" t="s">
        <v>25</v>
      </c>
      <c r="B18" s="11" t="s">
        <v>97</v>
      </c>
      <c r="C18" s="13">
        <v>40.4</v>
      </c>
      <c r="D18" s="13">
        <v>22</v>
      </c>
      <c r="E18" s="13">
        <v>18.399999999999999</v>
      </c>
      <c r="F18" s="13">
        <v>23.2</v>
      </c>
      <c r="G18" s="13">
        <v>38.57</v>
      </c>
      <c r="H18" s="28">
        <v>0.88900000000000001</v>
      </c>
      <c r="I18" s="28">
        <v>1.9207000000000001</v>
      </c>
      <c r="J18" s="29">
        <v>870.5</v>
      </c>
      <c r="K18" s="29">
        <v>533.6</v>
      </c>
      <c r="L18" s="13">
        <v>61.3</v>
      </c>
      <c r="M18" s="11" t="s">
        <v>96</v>
      </c>
      <c r="N18" s="13">
        <v>6.6</v>
      </c>
    </row>
    <row r="19" spans="1:14" ht="12.75" customHeight="1" x14ac:dyDescent="0.35">
      <c r="A19" s="15" t="s">
        <v>30</v>
      </c>
      <c r="B19" s="16" t="s">
        <v>95</v>
      </c>
      <c r="C19" s="18">
        <v>44.3</v>
      </c>
      <c r="D19" s="18">
        <v>22</v>
      </c>
      <c r="E19" s="18">
        <v>22.3</v>
      </c>
      <c r="F19" s="18">
        <v>39.6</v>
      </c>
      <c r="G19" s="18">
        <v>45.49</v>
      </c>
      <c r="H19" s="30">
        <v>0.81299999999999994</v>
      </c>
      <c r="I19" s="30">
        <v>2.3106</v>
      </c>
      <c r="J19" s="31">
        <v>525.79999999999995</v>
      </c>
      <c r="K19" s="31">
        <v>464.6</v>
      </c>
      <c r="L19" s="18">
        <v>88.4</v>
      </c>
      <c r="M19" s="16" t="s">
        <v>94</v>
      </c>
      <c r="N19" s="18">
        <v>9.1</v>
      </c>
    </row>
    <row r="20" spans="1:14" ht="12.75" customHeight="1" x14ac:dyDescent="0.35">
      <c r="A20" s="10" t="s">
        <v>30</v>
      </c>
      <c r="B20" s="11" t="s">
        <v>91</v>
      </c>
      <c r="C20" s="13">
        <v>48.7</v>
      </c>
      <c r="D20" s="13">
        <v>22</v>
      </c>
      <c r="E20" s="13">
        <v>26.7</v>
      </c>
      <c r="F20" s="13">
        <v>49.9</v>
      </c>
      <c r="G20" s="13">
        <v>51.58</v>
      </c>
      <c r="H20" s="28">
        <v>0.746</v>
      </c>
      <c r="I20" s="28">
        <v>2.8351999999999999</v>
      </c>
      <c r="J20" s="29">
        <v>337.6</v>
      </c>
      <c r="K20" s="29">
        <v>416.7</v>
      </c>
      <c r="L20" s="13">
        <v>123.4</v>
      </c>
      <c r="M20" s="11" t="s">
        <v>94</v>
      </c>
      <c r="N20" s="13">
        <v>11.9</v>
      </c>
    </row>
    <row r="21" spans="1:14" ht="12.75" customHeight="1" x14ac:dyDescent="0.35">
      <c r="A21" s="15" t="s">
        <v>30</v>
      </c>
      <c r="B21" s="16" t="s">
        <v>104</v>
      </c>
      <c r="C21" s="18">
        <v>46.6</v>
      </c>
      <c r="D21" s="18">
        <v>22</v>
      </c>
      <c r="E21" s="18">
        <v>24.6</v>
      </c>
      <c r="F21" s="18">
        <v>32.200000000000003</v>
      </c>
      <c r="G21" s="18">
        <v>45.99</v>
      </c>
      <c r="H21" s="30">
        <v>0.80800000000000005</v>
      </c>
      <c r="I21" s="30">
        <v>2.5735000000000001</v>
      </c>
      <c r="J21" s="31">
        <v>736.3</v>
      </c>
      <c r="K21" s="31">
        <v>772</v>
      </c>
      <c r="L21" s="18">
        <v>104.8</v>
      </c>
      <c r="M21" s="16" t="s">
        <v>103</v>
      </c>
      <c r="N21" s="18">
        <v>9.3000000000000007</v>
      </c>
    </row>
    <row r="22" spans="1:14" ht="12.75" customHeight="1" x14ac:dyDescent="0.35">
      <c r="A22" s="10" t="s">
        <v>30</v>
      </c>
      <c r="B22" s="11" t="s">
        <v>93</v>
      </c>
      <c r="C22" s="13">
        <v>50.1</v>
      </c>
      <c r="D22" s="13">
        <v>22</v>
      </c>
      <c r="E22" s="13">
        <v>28.1</v>
      </c>
      <c r="F22" s="13">
        <v>18.399999999999999</v>
      </c>
      <c r="G22" s="13">
        <v>46.21</v>
      </c>
      <c r="H22" s="28">
        <v>0.80500000000000005</v>
      </c>
      <c r="I22" s="28">
        <v>3.0211999999999999</v>
      </c>
      <c r="J22" s="29">
        <v>848.6</v>
      </c>
      <c r="K22" s="29">
        <v>1126.3</v>
      </c>
      <c r="L22" s="13">
        <v>132.69999999999999</v>
      </c>
      <c r="M22" s="11" t="s">
        <v>96</v>
      </c>
      <c r="N22" s="13">
        <v>11.5</v>
      </c>
    </row>
    <row r="23" spans="1:14" ht="12.75" customHeight="1" x14ac:dyDescent="0.35">
      <c r="A23" s="15" t="s">
        <v>30</v>
      </c>
      <c r="B23" s="16" t="s">
        <v>98</v>
      </c>
      <c r="C23" s="18">
        <v>40</v>
      </c>
      <c r="D23" s="18">
        <v>22</v>
      </c>
      <c r="E23" s="18">
        <v>18</v>
      </c>
      <c r="F23" s="18">
        <v>34.1</v>
      </c>
      <c r="G23" s="18">
        <v>40.5</v>
      </c>
      <c r="H23" s="30">
        <v>0.86799999999999999</v>
      </c>
      <c r="I23" s="30">
        <v>1.8847</v>
      </c>
      <c r="J23" s="31">
        <v>608.4</v>
      </c>
      <c r="K23" s="31">
        <v>364.2</v>
      </c>
      <c r="L23" s="18">
        <v>59.9</v>
      </c>
      <c r="M23" s="16" t="s">
        <v>99</v>
      </c>
      <c r="N23" s="18">
        <v>13.7</v>
      </c>
    </row>
    <row r="24" spans="1:14" ht="12.75" customHeight="1" x14ac:dyDescent="0.35">
      <c r="A24" s="10" t="s">
        <v>34</v>
      </c>
      <c r="B24" s="11" t="s">
        <v>105</v>
      </c>
      <c r="C24" s="13">
        <v>45.4</v>
      </c>
      <c r="D24" s="13">
        <v>22</v>
      </c>
      <c r="E24" s="13">
        <v>23.4</v>
      </c>
      <c r="F24" s="13">
        <v>21.9</v>
      </c>
      <c r="G24" s="13">
        <v>42.76</v>
      </c>
      <c r="H24" s="28">
        <v>0.84299999999999997</v>
      </c>
      <c r="I24" s="28">
        <v>2.4333</v>
      </c>
      <c r="J24" s="29">
        <v>762.8</v>
      </c>
      <c r="K24" s="29">
        <v>723.4</v>
      </c>
      <c r="L24" s="13">
        <v>94.8</v>
      </c>
      <c r="M24" s="11" t="s">
        <v>96</v>
      </c>
      <c r="N24" s="13">
        <v>10.1</v>
      </c>
    </row>
    <row r="25" spans="1:14" ht="12.75" customHeight="1" x14ac:dyDescent="0.35">
      <c r="A25" s="15" t="s">
        <v>34</v>
      </c>
      <c r="B25" s="16" t="s">
        <v>105</v>
      </c>
      <c r="C25" s="18">
        <v>43.5</v>
      </c>
      <c r="D25" s="18">
        <v>22</v>
      </c>
      <c r="E25" s="18">
        <v>21.5</v>
      </c>
      <c r="F25" s="18">
        <v>24</v>
      </c>
      <c r="G25" s="18">
        <v>41.5</v>
      </c>
      <c r="H25" s="30">
        <v>0.85699999999999998</v>
      </c>
      <c r="I25" s="30">
        <v>2.2248999999999999</v>
      </c>
      <c r="J25" s="31">
        <v>1058.0999999999999</v>
      </c>
      <c r="K25" s="31">
        <v>861.1</v>
      </c>
      <c r="L25" s="18">
        <v>81.400000000000006</v>
      </c>
      <c r="M25" s="16" t="s">
        <v>96</v>
      </c>
      <c r="N25" s="18">
        <v>13.2</v>
      </c>
    </row>
    <row r="26" spans="1:14" ht="12.75" customHeight="1" x14ac:dyDescent="0.35">
      <c r="A26" s="10" t="s">
        <v>34</v>
      </c>
      <c r="B26" s="11" t="s">
        <v>95</v>
      </c>
      <c r="C26" s="13">
        <v>42.9</v>
      </c>
      <c r="D26" s="13">
        <v>22</v>
      </c>
      <c r="E26" s="13">
        <v>20.9</v>
      </c>
      <c r="F26" s="13">
        <v>18.7</v>
      </c>
      <c r="G26" s="13">
        <v>39.85</v>
      </c>
      <c r="H26" s="28">
        <v>0.875</v>
      </c>
      <c r="I26" s="28">
        <v>2.1625000000000001</v>
      </c>
      <c r="J26" s="29">
        <v>1036.2</v>
      </c>
      <c r="K26" s="29">
        <v>796.1</v>
      </c>
      <c r="L26" s="13">
        <v>76.8</v>
      </c>
      <c r="M26" s="11" t="s">
        <v>99</v>
      </c>
      <c r="N26" s="13">
        <v>6.4</v>
      </c>
    </row>
    <row r="27" spans="1:14" ht="12.75" customHeight="1" x14ac:dyDescent="0.35">
      <c r="A27" s="15" t="s">
        <v>34</v>
      </c>
      <c r="B27" s="16" t="s">
        <v>100</v>
      </c>
      <c r="C27" s="18">
        <v>50.4</v>
      </c>
      <c r="D27" s="18">
        <v>22</v>
      </c>
      <c r="E27" s="18">
        <v>28.4</v>
      </c>
      <c r="F27" s="18">
        <v>53</v>
      </c>
      <c r="G27" s="18">
        <v>53.75</v>
      </c>
      <c r="H27" s="30">
        <v>0.72199999999999998</v>
      </c>
      <c r="I27" s="30">
        <v>3.0621999999999998</v>
      </c>
      <c r="J27" s="31">
        <v>277.10000000000002</v>
      </c>
      <c r="K27" s="31">
        <v>383.6</v>
      </c>
      <c r="L27" s="18">
        <v>138.4</v>
      </c>
      <c r="M27" s="16" t="s">
        <v>103</v>
      </c>
      <c r="N27" s="18">
        <v>12.2</v>
      </c>
    </row>
    <row r="28" spans="1:14" ht="12.75" customHeight="1" x14ac:dyDescent="0.35">
      <c r="A28" s="10" t="s">
        <v>34</v>
      </c>
      <c r="B28" s="11" t="s">
        <v>93</v>
      </c>
      <c r="C28" s="13">
        <v>48.8</v>
      </c>
      <c r="D28" s="13">
        <v>22</v>
      </c>
      <c r="E28" s="13">
        <v>26.8</v>
      </c>
      <c r="F28" s="13">
        <v>22.8</v>
      </c>
      <c r="G28" s="13">
        <v>45.98</v>
      </c>
      <c r="H28" s="28">
        <v>0.80800000000000005</v>
      </c>
      <c r="I28" s="28">
        <v>2.8481999999999998</v>
      </c>
      <c r="J28" s="29">
        <v>627.79999999999995</v>
      </c>
      <c r="K28" s="29">
        <v>765.2</v>
      </c>
      <c r="L28" s="13">
        <v>121.9</v>
      </c>
      <c r="M28" s="11" t="s">
        <v>96</v>
      </c>
      <c r="N28" s="13">
        <v>5.7</v>
      </c>
    </row>
    <row r="29" spans="1:14" ht="12.75" customHeight="1" x14ac:dyDescent="0.35">
      <c r="A29" s="15" t="s">
        <v>36</v>
      </c>
      <c r="B29" s="16" t="s">
        <v>93</v>
      </c>
      <c r="C29" s="18">
        <v>50.3</v>
      </c>
      <c r="D29" s="18">
        <v>22</v>
      </c>
      <c r="E29" s="18">
        <v>28.3</v>
      </c>
      <c r="F29" s="18">
        <v>33.700000000000003</v>
      </c>
      <c r="G29" s="18">
        <v>49.61</v>
      </c>
      <c r="H29" s="30">
        <v>0.76800000000000002</v>
      </c>
      <c r="I29" s="30">
        <v>3.0485000000000002</v>
      </c>
      <c r="J29" s="31">
        <v>390.6</v>
      </c>
      <c r="K29" s="31">
        <v>530.5</v>
      </c>
      <c r="L29" s="18">
        <v>135.80000000000001</v>
      </c>
      <c r="M29" s="16" t="s">
        <v>96</v>
      </c>
      <c r="N29" s="18">
        <v>11.6</v>
      </c>
    </row>
    <row r="30" spans="1:14" ht="12.75" customHeight="1" x14ac:dyDescent="0.35">
      <c r="A30" s="10" t="s">
        <v>36</v>
      </c>
      <c r="B30" s="11" t="s">
        <v>100</v>
      </c>
      <c r="C30" s="13">
        <v>48.1</v>
      </c>
      <c r="D30" s="13">
        <v>22</v>
      </c>
      <c r="E30" s="13">
        <v>26.1</v>
      </c>
      <c r="F30" s="13">
        <v>32.799999999999997</v>
      </c>
      <c r="G30" s="13">
        <v>47.45</v>
      </c>
      <c r="H30" s="28">
        <v>0.79200000000000004</v>
      </c>
      <c r="I30" s="28">
        <v>2.7584</v>
      </c>
      <c r="J30" s="29">
        <v>804.5</v>
      </c>
      <c r="K30" s="29">
        <v>940.7</v>
      </c>
      <c r="L30" s="13">
        <v>116.9</v>
      </c>
      <c r="M30" s="11" t="s">
        <v>99</v>
      </c>
      <c r="N30" s="13">
        <v>8.4</v>
      </c>
    </row>
    <row r="31" spans="1:14" ht="12.75" customHeight="1" x14ac:dyDescent="0.35">
      <c r="A31" s="15" t="s">
        <v>36</v>
      </c>
      <c r="B31" s="16" t="s">
        <v>93</v>
      </c>
      <c r="C31" s="18">
        <v>44.6</v>
      </c>
      <c r="D31" s="18">
        <v>22</v>
      </c>
      <c r="E31" s="18">
        <v>22.6</v>
      </c>
      <c r="F31" s="18">
        <v>27.2</v>
      </c>
      <c r="G31" s="18">
        <v>43.16</v>
      </c>
      <c r="H31" s="30">
        <v>0.83899999999999997</v>
      </c>
      <c r="I31" s="30">
        <v>2.3435000000000001</v>
      </c>
      <c r="J31" s="31">
        <v>257.60000000000002</v>
      </c>
      <c r="K31" s="31">
        <v>230.3</v>
      </c>
      <c r="L31" s="18">
        <v>89.4</v>
      </c>
      <c r="M31" s="16" t="s">
        <v>92</v>
      </c>
      <c r="N31" s="18">
        <v>9.9</v>
      </c>
    </row>
    <row r="32" spans="1:14" ht="12.75" customHeight="1" x14ac:dyDescent="0.35">
      <c r="A32" s="10" t="s">
        <v>36</v>
      </c>
      <c r="B32" s="11" t="s">
        <v>100</v>
      </c>
      <c r="C32" s="13">
        <v>46.4</v>
      </c>
      <c r="D32" s="13">
        <v>22</v>
      </c>
      <c r="E32" s="13">
        <v>24.4</v>
      </c>
      <c r="F32" s="13">
        <v>18.3</v>
      </c>
      <c r="G32" s="13">
        <v>42.89</v>
      </c>
      <c r="H32" s="28">
        <v>0.84199999999999997</v>
      </c>
      <c r="I32" s="28">
        <v>2.5497000000000001</v>
      </c>
      <c r="J32" s="29">
        <v>837.1</v>
      </c>
      <c r="K32" s="29">
        <v>854.6</v>
      </c>
      <c r="L32" s="13">
        <v>102.1</v>
      </c>
      <c r="M32" s="11" t="s">
        <v>92</v>
      </c>
      <c r="N32" s="13">
        <v>6.3</v>
      </c>
    </row>
    <row r="33" spans="1:14" ht="12.75" customHeight="1" x14ac:dyDescent="0.35">
      <c r="A33" s="15" t="s">
        <v>36</v>
      </c>
      <c r="B33" s="16" t="s">
        <v>102</v>
      </c>
      <c r="C33" s="18">
        <v>50.1</v>
      </c>
      <c r="D33" s="18">
        <v>22</v>
      </c>
      <c r="E33" s="18">
        <v>28.1</v>
      </c>
      <c r="F33" s="18">
        <v>20.6</v>
      </c>
      <c r="G33" s="18">
        <v>46.68</v>
      </c>
      <c r="H33" s="30">
        <v>0.8</v>
      </c>
      <c r="I33" s="30">
        <v>3.0211999999999999</v>
      </c>
      <c r="J33" s="31">
        <v>414.2</v>
      </c>
      <c r="K33" s="31">
        <v>550.5</v>
      </c>
      <c r="L33" s="18">
        <v>132.9</v>
      </c>
      <c r="M33" s="16" t="s">
        <v>103</v>
      </c>
      <c r="N33" s="18">
        <v>6.1</v>
      </c>
    </row>
    <row r="34" spans="1:14" ht="12.75" customHeight="1" x14ac:dyDescent="0.35">
      <c r="A34" s="10" t="s">
        <v>40</v>
      </c>
      <c r="B34" s="11" t="s">
        <v>105</v>
      </c>
      <c r="C34" s="13">
        <v>48.3</v>
      </c>
      <c r="D34" s="13">
        <v>22</v>
      </c>
      <c r="E34" s="13">
        <v>26.3</v>
      </c>
      <c r="F34" s="13">
        <v>50.6</v>
      </c>
      <c r="G34" s="13">
        <v>51.37</v>
      </c>
      <c r="H34" s="28">
        <v>0.748</v>
      </c>
      <c r="I34" s="28">
        <v>2.7837999999999998</v>
      </c>
      <c r="J34" s="29">
        <v>718.6</v>
      </c>
      <c r="K34" s="29">
        <v>863.6</v>
      </c>
      <c r="L34" s="13">
        <v>120.2</v>
      </c>
      <c r="M34" s="11" t="s">
        <v>94</v>
      </c>
      <c r="N34" s="13">
        <v>11.8</v>
      </c>
    </row>
    <row r="35" spans="1:14" ht="12.75" customHeight="1" x14ac:dyDescent="0.35">
      <c r="A35" s="15" t="s">
        <v>40</v>
      </c>
      <c r="B35" s="16" t="s">
        <v>104</v>
      </c>
      <c r="C35" s="18">
        <v>41.1</v>
      </c>
      <c r="D35" s="18">
        <v>22</v>
      </c>
      <c r="E35" s="18">
        <v>19.100000000000001</v>
      </c>
      <c r="F35" s="18">
        <v>21.6</v>
      </c>
      <c r="G35" s="18">
        <v>38.86</v>
      </c>
      <c r="H35" s="30">
        <v>0.88600000000000001</v>
      </c>
      <c r="I35" s="30">
        <v>1.9855</v>
      </c>
      <c r="J35" s="31">
        <v>587.9</v>
      </c>
      <c r="K35" s="31">
        <v>384.7</v>
      </c>
      <c r="L35" s="18">
        <v>65.400000000000006</v>
      </c>
      <c r="M35" s="16" t="s">
        <v>103</v>
      </c>
      <c r="N35" s="18">
        <v>8.1</v>
      </c>
    </row>
    <row r="36" spans="1:14" ht="12.75" customHeight="1" x14ac:dyDescent="0.35">
      <c r="A36" s="10" t="s">
        <v>40</v>
      </c>
      <c r="B36" s="11" t="s">
        <v>102</v>
      </c>
      <c r="C36" s="13">
        <v>47.6</v>
      </c>
      <c r="D36" s="13">
        <v>22</v>
      </c>
      <c r="E36" s="13">
        <v>25.6</v>
      </c>
      <c r="F36" s="13">
        <v>54.4</v>
      </c>
      <c r="G36" s="13">
        <v>51.54</v>
      </c>
      <c r="H36" s="28">
        <v>0.747</v>
      </c>
      <c r="I36" s="28">
        <v>2.6956000000000002</v>
      </c>
      <c r="J36" s="29">
        <v>288.60000000000002</v>
      </c>
      <c r="K36" s="29">
        <v>331.1</v>
      </c>
      <c r="L36" s="13">
        <v>114.7</v>
      </c>
      <c r="M36" s="11" t="s">
        <v>103</v>
      </c>
      <c r="N36" s="13">
        <v>11.3</v>
      </c>
    </row>
    <row r="37" spans="1:14" ht="12.75" customHeight="1" x14ac:dyDescent="0.35">
      <c r="A37" s="15" t="s">
        <v>40</v>
      </c>
      <c r="B37" s="16" t="s">
        <v>91</v>
      </c>
      <c r="C37" s="18">
        <v>41.9</v>
      </c>
      <c r="D37" s="18">
        <v>22</v>
      </c>
      <c r="E37" s="18">
        <v>19.899999999999999</v>
      </c>
      <c r="F37" s="18">
        <v>25</v>
      </c>
      <c r="G37" s="18">
        <v>40.28</v>
      </c>
      <c r="H37" s="30">
        <v>0.87</v>
      </c>
      <c r="I37" s="30">
        <v>2.0623</v>
      </c>
      <c r="J37" s="31">
        <v>603.79999999999995</v>
      </c>
      <c r="K37" s="31">
        <v>427.5</v>
      </c>
      <c r="L37" s="18">
        <v>70.8</v>
      </c>
      <c r="M37" s="16" t="s">
        <v>103</v>
      </c>
      <c r="N37" s="18">
        <v>5.8</v>
      </c>
    </row>
    <row r="38" spans="1:14" ht="12.75" customHeight="1" x14ac:dyDescent="0.35">
      <c r="A38" s="10" t="s">
        <v>40</v>
      </c>
      <c r="B38" s="11" t="s">
        <v>97</v>
      </c>
      <c r="C38" s="13">
        <v>41.9</v>
      </c>
      <c r="D38" s="13">
        <v>22</v>
      </c>
      <c r="E38" s="13">
        <v>19.899999999999999</v>
      </c>
      <c r="F38" s="13">
        <v>52.2</v>
      </c>
      <c r="G38" s="13">
        <v>46</v>
      </c>
      <c r="H38" s="28">
        <v>0.80700000000000005</v>
      </c>
      <c r="I38" s="28">
        <v>2.0623</v>
      </c>
      <c r="J38" s="29">
        <v>598.79999999999995</v>
      </c>
      <c r="K38" s="29">
        <v>438.3</v>
      </c>
      <c r="L38" s="13">
        <v>73.2</v>
      </c>
      <c r="M38" s="11" t="s">
        <v>96</v>
      </c>
      <c r="N38" s="13">
        <v>5</v>
      </c>
    </row>
    <row r="39" spans="1:14" ht="12.75" customHeight="1" x14ac:dyDescent="0.35">
      <c r="A39" s="15" t="s">
        <v>43</v>
      </c>
      <c r="B39" s="16" t="s">
        <v>93</v>
      </c>
      <c r="C39" s="18">
        <v>49.8</v>
      </c>
      <c r="D39" s="18">
        <v>22</v>
      </c>
      <c r="E39" s="18">
        <v>27.8</v>
      </c>
      <c r="F39" s="18">
        <v>53.9</v>
      </c>
      <c r="G39" s="18">
        <v>53.4</v>
      </c>
      <c r="H39" s="30">
        <v>0.72599999999999998</v>
      </c>
      <c r="I39" s="30">
        <v>2.9805999999999999</v>
      </c>
      <c r="J39" s="31">
        <v>1033.7</v>
      </c>
      <c r="K39" s="31">
        <v>1377</v>
      </c>
      <c r="L39" s="18">
        <v>133.19999999999999</v>
      </c>
      <c r="M39" s="16" t="s">
        <v>94</v>
      </c>
      <c r="N39" s="18">
        <v>5.7</v>
      </c>
    </row>
    <row r="40" spans="1:14" ht="12.75" customHeight="1" x14ac:dyDescent="0.35">
      <c r="A40" s="10" t="s">
        <v>43</v>
      </c>
      <c r="B40" s="11" t="s">
        <v>97</v>
      </c>
      <c r="C40" s="13">
        <v>45</v>
      </c>
      <c r="D40" s="13">
        <v>22</v>
      </c>
      <c r="E40" s="13">
        <v>23</v>
      </c>
      <c r="F40" s="13">
        <v>50</v>
      </c>
      <c r="G40" s="13">
        <v>48.3</v>
      </c>
      <c r="H40" s="28">
        <v>0.78200000000000003</v>
      </c>
      <c r="I40" s="28">
        <v>2.3879999999999999</v>
      </c>
      <c r="J40" s="29">
        <v>1012.2</v>
      </c>
      <c r="K40" s="29">
        <v>954.9</v>
      </c>
      <c r="L40" s="13">
        <v>94.3</v>
      </c>
      <c r="M40" s="11" t="s">
        <v>94</v>
      </c>
      <c r="N40" s="13">
        <v>7.8</v>
      </c>
    </row>
    <row r="41" spans="1:14" ht="12.75" customHeight="1" x14ac:dyDescent="0.35">
      <c r="A41" s="15" t="s">
        <v>43</v>
      </c>
      <c r="B41" s="16" t="s">
        <v>104</v>
      </c>
      <c r="C41" s="18">
        <v>42.1</v>
      </c>
      <c r="D41" s="18">
        <v>22</v>
      </c>
      <c r="E41" s="18">
        <v>20.100000000000001</v>
      </c>
      <c r="F41" s="18">
        <v>47</v>
      </c>
      <c r="G41" s="18">
        <v>45.08</v>
      </c>
      <c r="H41" s="30">
        <v>0.81799999999999995</v>
      </c>
      <c r="I41" s="30">
        <v>2.0819999999999999</v>
      </c>
      <c r="J41" s="31">
        <v>609.5</v>
      </c>
      <c r="K41" s="31">
        <v>451</v>
      </c>
      <c r="L41" s="18">
        <v>74</v>
      </c>
      <c r="M41" s="16" t="s">
        <v>103</v>
      </c>
      <c r="N41" s="18">
        <v>11</v>
      </c>
    </row>
    <row r="42" spans="1:14" ht="12.75" customHeight="1" x14ac:dyDescent="0.35">
      <c r="A42" s="10" t="s">
        <v>43</v>
      </c>
      <c r="B42" s="11" t="s">
        <v>93</v>
      </c>
      <c r="C42" s="13">
        <v>47.4</v>
      </c>
      <c r="D42" s="13">
        <v>22</v>
      </c>
      <c r="E42" s="13">
        <v>25.4</v>
      </c>
      <c r="F42" s="13">
        <v>36</v>
      </c>
      <c r="G42" s="13">
        <v>47.5</v>
      </c>
      <c r="H42" s="28">
        <v>0.79100000000000004</v>
      </c>
      <c r="I42" s="28">
        <v>2.6707999999999998</v>
      </c>
      <c r="J42" s="29">
        <v>370.9</v>
      </c>
      <c r="K42" s="29">
        <v>413.7</v>
      </c>
      <c r="L42" s="13">
        <v>111.5</v>
      </c>
      <c r="M42" s="11" t="s">
        <v>94</v>
      </c>
      <c r="N42" s="13">
        <v>13.7</v>
      </c>
    </row>
    <row r="43" spans="1:14" ht="12.75" customHeight="1" x14ac:dyDescent="0.35">
      <c r="A43" s="15" t="s">
        <v>43</v>
      </c>
      <c r="B43" s="16" t="s">
        <v>95</v>
      </c>
      <c r="C43" s="18">
        <v>48.4</v>
      </c>
      <c r="D43" s="18">
        <v>22</v>
      </c>
      <c r="E43" s="18">
        <v>26.4</v>
      </c>
      <c r="F43" s="18">
        <v>20.3</v>
      </c>
      <c r="G43" s="18">
        <v>45.1</v>
      </c>
      <c r="H43" s="30">
        <v>0.81699999999999995</v>
      </c>
      <c r="I43" s="30">
        <v>2.7966000000000002</v>
      </c>
      <c r="J43" s="31">
        <v>482.2</v>
      </c>
      <c r="K43" s="31">
        <v>570.70000000000005</v>
      </c>
      <c r="L43" s="18">
        <v>118.4</v>
      </c>
      <c r="M43" s="16" t="s">
        <v>92</v>
      </c>
      <c r="N43" s="18">
        <v>9.8000000000000007</v>
      </c>
    </row>
    <row r="44" spans="1:14" ht="12.75" customHeight="1" x14ac:dyDescent="0.35">
      <c r="A44" s="10" t="s">
        <v>46</v>
      </c>
      <c r="B44" s="11" t="s">
        <v>93</v>
      </c>
      <c r="C44" s="13">
        <v>50.9</v>
      </c>
      <c r="D44" s="13">
        <v>22</v>
      </c>
      <c r="E44" s="13">
        <v>28.9</v>
      </c>
      <c r="F44" s="13">
        <v>37.700000000000003</v>
      </c>
      <c r="G44" s="13">
        <v>50.98</v>
      </c>
      <c r="H44" s="28">
        <v>0.753</v>
      </c>
      <c r="I44" s="28">
        <v>3.1316000000000002</v>
      </c>
      <c r="J44" s="29">
        <v>251.2</v>
      </c>
      <c r="K44" s="29">
        <v>355.6</v>
      </c>
      <c r="L44" s="13">
        <v>141.6</v>
      </c>
      <c r="M44" s="11" t="s">
        <v>96</v>
      </c>
      <c r="N44" s="13">
        <v>4.8</v>
      </c>
    </row>
    <row r="45" spans="1:14" ht="12.75" customHeight="1" x14ac:dyDescent="0.35">
      <c r="A45" s="15" t="s">
        <v>46</v>
      </c>
      <c r="B45" s="16" t="s">
        <v>105</v>
      </c>
      <c r="C45" s="18">
        <v>39.4</v>
      </c>
      <c r="D45" s="18">
        <v>22</v>
      </c>
      <c r="E45" s="18">
        <v>17.399999999999999</v>
      </c>
      <c r="F45" s="18">
        <v>20.5</v>
      </c>
      <c r="G45" s="18">
        <v>37.11</v>
      </c>
      <c r="H45" s="30">
        <v>0.90500000000000003</v>
      </c>
      <c r="I45" s="30">
        <v>1.8321000000000001</v>
      </c>
      <c r="J45" s="31">
        <v>975.6</v>
      </c>
      <c r="K45" s="31">
        <v>538.5</v>
      </c>
      <c r="L45" s="18">
        <v>55.2</v>
      </c>
      <c r="M45" s="16" t="s">
        <v>103</v>
      </c>
      <c r="N45" s="18">
        <v>5.2</v>
      </c>
    </row>
    <row r="46" spans="1:14" ht="12.75" customHeight="1" x14ac:dyDescent="0.35">
      <c r="A46" s="10" t="s">
        <v>46</v>
      </c>
      <c r="B46" s="11" t="s">
        <v>95</v>
      </c>
      <c r="C46" s="13">
        <v>41.8</v>
      </c>
      <c r="D46" s="13">
        <v>22</v>
      </c>
      <c r="E46" s="13">
        <v>19.8</v>
      </c>
      <c r="F46" s="13">
        <v>40</v>
      </c>
      <c r="G46" s="13">
        <v>43.34</v>
      </c>
      <c r="H46" s="28">
        <v>0.83699999999999997</v>
      </c>
      <c r="I46" s="28">
        <v>2.0526</v>
      </c>
      <c r="J46" s="29">
        <v>757.4</v>
      </c>
      <c r="K46" s="29">
        <v>541.20000000000005</v>
      </c>
      <c r="L46" s="13">
        <v>71.5</v>
      </c>
      <c r="M46" s="11" t="s">
        <v>103</v>
      </c>
      <c r="N46" s="13">
        <v>10.6</v>
      </c>
    </row>
    <row r="47" spans="1:14" ht="12.75" customHeight="1" x14ac:dyDescent="0.35">
      <c r="A47" s="15" t="s">
        <v>46</v>
      </c>
      <c r="B47" s="16" t="s">
        <v>95</v>
      </c>
      <c r="C47" s="18">
        <v>45.6</v>
      </c>
      <c r="D47" s="18">
        <v>22</v>
      </c>
      <c r="E47" s="18">
        <v>23.6</v>
      </c>
      <c r="F47" s="18">
        <v>52.6</v>
      </c>
      <c r="G47" s="18">
        <v>49.38</v>
      </c>
      <c r="H47" s="30">
        <v>0.77</v>
      </c>
      <c r="I47" s="30">
        <v>2.4561999999999999</v>
      </c>
      <c r="J47" s="31">
        <v>383.8</v>
      </c>
      <c r="K47" s="31">
        <v>380.1</v>
      </c>
      <c r="L47" s="18">
        <v>99</v>
      </c>
      <c r="M47" s="16" t="s">
        <v>99</v>
      </c>
      <c r="N47" s="18">
        <v>6.4</v>
      </c>
    </row>
    <row r="48" spans="1:14" ht="12.75" customHeight="1" x14ac:dyDescent="0.35">
      <c r="A48" s="10" t="s">
        <v>46</v>
      </c>
      <c r="B48" s="11" t="s">
        <v>104</v>
      </c>
      <c r="C48" s="13">
        <v>40.299999999999997</v>
      </c>
      <c r="D48" s="13">
        <v>22</v>
      </c>
      <c r="E48" s="13">
        <v>18.3</v>
      </c>
      <c r="F48" s="13">
        <v>41.9</v>
      </c>
      <c r="G48" s="13">
        <v>42.41</v>
      </c>
      <c r="H48" s="28">
        <v>0.84699999999999998</v>
      </c>
      <c r="I48" s="28">
        <v>1.9117</v>
      </c>
      <c r="J48" s="29">
        <v>611.5</v>
      </c>
      <c r="K48" s="29">
        <v>381.2</v>
      </c>
      <c r="L48" s="13">
        <v>62.3</v>
      </c>
      <c r="M48" s="11" t="s">
        <v>92</v>
      </c>
      <c r="N48" s="13">
        <v>4.0999999999999996</v>
      </c>
    </row>
    <row r="49" spans="1:14" ht="12.75" customHeight="1" x14ac:dyDescent="0.35">
      <c r="A49" s="15" t="s">
        <v>50</v>
      </c>
      <c r="B49" s="16" t="s">
        <v>95</v>
      </c>
      <c r="C49" s="18">
        <v>52</v>
      </c>
      <c r="D49" s="18">
        <v>22</v>
      </c>
      <c r="E49" s="18">
        <v>30</v>
      </c>
      <c r="F49" s="18">
        <v>54.9</v>
      </c>
      <c r="G49" s="18">
        <v>55.57</v>
      </c>
      <c r="H49" s="30">
        <v>0.70199999999999996</v>
      </c>
      <c r="I49" s="30">
        <v>3.2883</v>
      </c>
      <c r="J49" s="31">
        <v>265.89999999999998</v>
      </c>
      <c r="K49" s="31">
        <v>407.4</v>
      </c>
      <c r="L49" s="18">
        <v>153.19999999999999</v>
      </c>
      <c r="M49" s="16" t="s">
        <v>94</v>
      </c>
      <c r="N49" s="18">
        <v>9.1</v>
      </c>
    </row>
    <row r="50" spans="1:14" ht="12.75" customHeight="1" x14ac:dyDescent="0.35">
      <c r="A50" s="10" t="s">
        <v>50</v>
      </c>
      <c r="B50" s="11" t="s">
        <v>105</v>
      </c>
      <c r="C50" s="13">
        <v>51.1</v>
      </c>
      <c r="D50" s="13">
        <v>22</v>
      </c>
      <c r="E50" s="13">
        <v>29.1</v>
      </c>
      <c r="F50" s="13">
        <v>50.6</v>
      </c>
      <c r="G50" s="13">
        <v>53.87</v>
      </c>
      <c r="H50" s="28">
        <v>0.72099999999999997</v>
      </c>
      <c r="I50" s="28">
        <v>3.1597</v>
      </c>
      <c r="J50" s="29">
        <v>991.3</v>
      </c>
      <c r="K50" s="29">
        <v>1432.5</v>
      </c>
      <c r="L50" s="13">
        <v>144.5</v>
      </c>
      <c r="M50" s="11" t="s">
        <v>99</v>
      </c>
      <c r="N50" s="13">
        <v>6.8</v>
      </c>
    </row>
    <row r="51" spans="1:14" ht="12.75" customHeight="1" x14ac:dyDescent="0.35">
      <c r="A51" s="15" t="s">
        <v>50</v>
      </c>
      <c r="B51" s="16" t="s">
        <v>97</v>
      </c>
      <c r="C51" s="18">
        <v>49.8</v>
      </c>
      <c r="D51" s="18">
        <v>22</v>
      </c>
      <c r="E51" s="18">
        <v>27.8</v>
      </c>
      <c r="F51" s="18">
        <v>44</v>
      </c>
      <c r="G51" s="18">
        <v>51.32</v>
      </c>
      <c r="H51" s="30">
        <v>0.749</v>
      </c>
      <c r="I51" s="30">
        <v>2.9805999999999999</v>
      </c>
      <c r="J51" s="31">
        <v>750.5</v>
      </c>
      <c r="K51" s="31">
        <v>993.2</v>
      </c>
      <c r="L51" s="18">
        <v>132.30000000000001</v>
      </c>
      <c r="M51" s="16" t="s">
        <v>96</v>
      </c>
      <c r="N51" s="18">
        <v>4.0999999999999996</v>
      </c>
    </row>
    <row r="52" spans="1:14" ht="12.75" customHeight="1" x14ac:dyDescent="0.35">
      <c r="A52" s="10" t="s">
        <v>50</v>
      </c>
      <c r="B52" s="11" t="s">
        <v>93</v>
      </c>
      <c r="C52" s="13">
        <v>42.5</v>
      </c>
      <c r="D52" s="13">
        <v>22</v>
      </c>
      <c r="E52" s="13">
        <v>20.5</v>
      </c>
      <c r="F52" s="13">
        <v>42.5</v>
      </c>
      <c r="G52" s="13">
        <v>44.49</v>
      </c>
      <c r="H52" s="28">
        <v>0.82399999999999995</v>
      </c>
      <c r="I52" s="28">
        <v>2.1219000000000001</v>
      </c>
      <c r="J52" s="29">
        <v>1045</v>
      </c>
      <c r="K52" s="29">
        <v>796.8</v>
      </c>
      <c r="L52" s="13">
        <v>76.2</v>
      </c>
      <c r="M52" s="11" t="s">
        <v>94</v>
      </c>
      <c r="N52" s="13">
        <v>6.6</v>
      </c>
    </row>
    <row r="53" spans="1:14" ht="12.75" customHeight="1" x14ac:dyDescent="0.35">
      <c r="A53" s="15" t="s">
        <v>50</v>
      </c>
      <c r="B53" s="16" t="s">
        <v>91</v>
      </c>
      <c r="C53" s="18">
        <v>48.5</v>
      </c>
      <c r="D53" s="18">
        <v>22</v>
      </c>
      <c r="E53" s="18">
        <v>26.5</v>
      </c>
      <c r="F53" s="18">
        <v>23.8</v>
      </c>
      <c r="G53" s="18">
        <v>45.92</v>
      </c>
      <c r="H53" s="30">
        <v>0.80800000000000005</v>
      </c>
      <c r="I53" s="30">
        <v>2.8094000000000001</v>
      </c>
      <c r="J53" s="31">
        <v>453.6</v>
      </c>
      <c r="K53" s="31">
        <v>542</v>
      </c>
      <c r="L53" s="18">
        <v>119.5</v>
      </c>
      <c r="M53" s="16" t="s">
        <v>94</v>
      </c>
      <c r="N53" s="18">
        <v>11.2</v>
      </c>
    </row>
    <row r="54" spans="1:14" ht="12.75" customHeight="1" x14ac:dyDescent="0.35">
      <c r="A54" s="10" t="s">
        <v>54</v>
      </c>
      <c r="B54" s="11" t="s">
        <v>100</v>
      </c>
      <c r="C54" s="13">
        <v>47.8</v>
      </c>
      <c r="D54" s="13">
        <v>22</v>
      </c>
      <c r="E54" s="13">
        <v>25.8</v>
      </c>
      <c r="F54" s="13">
        <v>49.6</v>
      </c>
      <c r="G54" s="13">
        <v>50.71</v>
      </c>
      <c r="H54" s="28">
        <v>0.75600000000000001</v>
      </c>
      <c r="I54" s="28">
        <v>2.7206000000000001</v>
      </c>
      <c r="J54" s="29">
        <v>654.9</v>
      </c>
      <c r="K54" s="29">
        <v>759.4</v>
      </c>
      <c r="L54" s="13">
        <v>116</v>
      </c>
      <c r="M54" s="11" t="s">
        <v>99</v>
      </c>
      <c r="N54" s="13">
        <v>13.1</v>
      </c>
    </row>
    <row r="55" spans="1:14" ht="12.75" customHeight="1" x14ac:dyDescent="0.35">
      <c r="A55" s="15" t="s">
        <v>54</v>
      </c>
      <c r="B55" s="16" t="s">
        <v>102</v>
      </c>
      <c r="C55" s="18">
        <v>39.700000000000003</v>
      </c>
      <c r="D55" s="18">
        <v>22</v>
      </c>
      <c r="E55" s="18">
        <v>17.7</v>
      </c>
      <c r="F55" s="18">
        <v>33.700000000000003</v>
      </c>
      <c r="G55" s="18">
        <v>40.15</v>
      </c>
      <c r="H55" s="30">
        <v>0.872</v>
      </c>
      <c r="I55" s="30">
        <v>1.8582000000000001</v>
      </c>
      <c r="J55" s="31">
        <v>449</v>
      </c>
      <c r="K55" s="31">
        <v>260.7</v>
      </c>
      <c r="L55" s="18">
        <v>58.1</v>
      </c>
      <c r="M55" s="16" t="s">
        <v>92</v>
      </c>
      <c r="N55" s="18">
        <v>7.3</v>
      </c>
    </row>
    <row r="56" spans="1:14" ht="12.75" customHeight="1" x14ac:dyDescent="0.35">
      <c r="A56" s="10" t="s">
        <v>54</v>
      </c>
      <c r="B56" s="11" t="s">
        <v>105</v>
      </c>
      <c r="C56" s="13">
        <v>47.1</v>
      </c>
      <c r="D56" s="13">
        <v>22</v>
      </c>
      <c r="E56" s="13">
        <v>25.1</v>
      </c>
      <c r="F56" s="13">
        <v>27.7</v>
      </c>
      <c r="G56" s="13">
        <v>45.49</v>
      </c>
      <c r="H56" s="28">
        <v>0.81299999999999994</v>
      </c>
      <c r="I56" s="28">
        <v>2.6339999999999999</v>
      </c>
      <c r="J56" s="29">
        <v>867.1</v>
      </c>
      <c r="K56" s="29">
        <v>940.1</v>
      </c>
      <c r="L56" s="13">
        <v>108.4</v>
      </c>
      <c r="M56" s="11" t="s">
        <v>96</v>
      </c>
      <c r="N56" s="13">
        <v>11.1</v>
      </c>
    </row>
    <row r="57" spans="1:14" ht="12.75" customHeight="1" x14ac:dyDescent="0.35">
      <c r="A57" s="15" t="s">
        <v>54</v>
      </c>
      <c r="B57" s="16" t="s">
        <v>93</v>
      </c>
      <c r="C57" s="18">
        <v>38.6</v>
      </c>
      <c r="D57" s="18">
        <v>22</v>
      </c>
      <c r="E57" s="18">
        <v>16.600000000000001</v>
      </c>
      <c r="F57" s="18">
        <v>20.8</v>
      </c>
      <c r="G57" s="18">
        <v>36.46</v>
      </c>
      <c r="H57" s="30">
        <v>0.91200000000000003</v>
      </c>
      <c r="I57" s="30">
        <v>1.7644</v>
      </c>
      <c r="J57" s="31">
        <v>994.8</v>
      </c>
      <c r="K57" s="31">
        <v>504.7</v>
      </c>
      <c r="L57" s="18">
        <v>50.7</v>
      </c>
      <c r="M57" s="16" t="s">
        <v>94</v>
      </c>
      <c r="N57" s="18">
        <v>9.5</v>
      </c>
    </row>
    <row r="58" spans="1:14" ht="12.75" customHeight="1" x14ac:dyDescent="0.35">
      <c r="A58" s="10" t="s">
        <v>54</v>
      </c>
      <c r="B58" s="11" t="s">
        <v>98</v>
      </c>
      <c r="C58" s="13">
        <v>46.4</v>
      </c>
      <c r="D58" s="13">
        <v>22</v>
      </c>
      <c r="E58" s="13">
        <v>24.4</v>
      </c>
      <c r="F58" s="13">
        <v>23.5</v>
      </c>
      <c r="G58" s="13">
        <v>43.98</v>
      </c>
      <c r="H58" s="28">
        <v>0.83</v>
      </c>
      <c r="I58" s="28">
        <v>2.5497000000000001</v>
      </c>
      <c r="J58" s="29">
        <v>314.7</v>
      </c>
      <c r="K58" s="29">
        <v>322.7</v>
      </c>
      <c r="L58" s="13">
        <v>102.5</v>
      </c>
      <c r="M58" s="11" t="s">
        <v>99</v>
      </c>
      <c r="N58" s="13">
        <v>7.6</v>
      </c>
    </row>
    <row r="59" spans="1:14" ht="12.75" customHeight="1" x14ac:dyDescent="0.35">
      <c r="A59" s="15" t="s">
        <v>56</v>
      </c>
      <c r="B59" s="16" t="s">
        <v>102</v>
      </c>
      <c r="C59" s="18">
        <v>50.6</v>
      </c>
      <c r="D59" s="18">
        <v>22</v>
      </c>
      <c r="E59" s="18">
        <v>28.6</v>
      </c>
      <c r="F59" s="18">
        <v>25.8</v>
      </c>
      <c r="G59" s="18">
        <v>48.21</v>
      </c>
      <c r="H59" s="30">
        <v>0.78300000000000003</v>
      </c>
      <c r="I59" s="30">
        <v>3.0897999999999999</v>
      </c>
      <c r="J59" s="31">
        <v>424.6</v>
      </c>
      <c r="K59" s="31">
        <v>585.20000000000005</v>
      </c>
      <c r="L59" s="18">
        <v>137.80000000000001</v>
      </c>
      <c r="M59" s="16" t="s">
        <v>92</v>
      </c>
      <c r="N59" s="18">
        <v>7.5</v>
      </c>
    </row>
    <row r="60" spans="1:14" ht="12.75" customHeight="1" x14ac:dyDescent="0.35">
      <c r="A60" s="10" t="s">
        <v>56</v>
      </c>
      <c r="B60" s="11" t="s">
        <v>93</v>
      </c>
      <c r="C60" s="13">
        <v>50.4</v>
      </c>
      <c r="D60" s="13">
        <v>22</v>
      </c>
      <c r="E60" s="13">
        <v>28.4</v>
      </c>
      <c r="F60" s="13">
        <v>33</v>
      </c>
      <c r="G60" s="13">
        <v>49.55</v>
      </c>
      <c r="H60" s="28">
        <v>0.76800000000000002</v>
      </c>
      <c r="I60" s="28">
        <v>3.0621999999999998</v>
      </c>
      <c r="J60" s="29">
        <v>758.6</v>
      </c>
      <c r="K60" s="29">
        <v>1036.8</v>
      </c>
      <c r="L60" s="13">
        <v>136.69999999999999</v>
      </c>
      <c r="M60" s="11" t="s">
        <v>94</v>
      </c>
      <c r="N60" s="13">
        <v>13.3</v>
      </c>
    </row>
    <row r="61" spans="1:14" ht="12.75" customHeight="1" x14ac:dyDescent="0.35">
      <c r="A61" s="15" t="s">
        <v>56</v>
      </c>
      <c r="B61" s="16" t="s">
        <v>100</v>
      </c>
      <c r="C61" s="18">
        <v>50.2</v>
      </c>
      <c r="D61" s="18">
        <v>22</v>
      </c>
      <c r="E61" s="18">
        <v>28.2</v>
      </c>
      <c r="F61" s="18">
        <v>54.1</v>
      </c>
      <c r="G61" s="18">
        <v>53.8</v>
      </c>
      <c r="H61" s="30">
        <v>0.72199999999999998</v>
      </c>
      <c r="I61" s="30">
        <v>3.0348000000000002</v>
      </c>
      <c r="J61" s="31">
        <v>929.7</v>
      </c>
      <c r="K61" s="31">
        <v>1271.0999999999999</v>
      </c>
      <c r="L61" s="18">
        <v>136.69999999999999</v>
      </c>
      <c r="M61" s="16" t="s">
        <v>103</v>
      </c>
      <c r="N61" s="18">
        <v>4.2</v>
      </c>
    </row>
    <row r="62" spans="1:14" ht="12.75" customHeight="1" x14ac:dyDescent="0.35">
      <c r="A62" s="10" t="s">
        <v>56</v>
      </c>
      <c r="B62" s="11" t="s">
        <v>98</v>
      </c>
      <c r="C62" s="13">
        <v>49.1</v>
      </c>
      <c r="D62" s="13">
        <v>22</v>
      </c>
      <c r="E62" s="13">
        <v>27.1</v>
      </c>
      <c r="F62" s="13">
        <v>33.200000000000003</v>
      </c>
      <c r="G62" s="13">
        <v>48.43</v>
      </c>
      <c r="H62" s="28">
        <v>0.78100000000000003</v>
      </c>
      <c r="I62" s="28">
        <v>2.8874</v>
      </c>
      <c r="J62" s="29">
        <v>802.9</v>
      </c>
      <c r="K62" s="29">
        <v>1006.4</v>
      </c>
      <c r="L62" s="13">
        <v>125.3</v>
      </c>
      <c r="M62" s="11" t="s">
        <v>94</v>
      </c>
      <c r="N62" s="13">
        <v>6.7</v>
      </c>
    </row>
    <row r="63" spans="1:14" ht="12.75" customHeight="1" x14ac:dyDescent="0.35">
      <c r="A63" s="15" t="s">
        <v>56</v>
      </c>
      <c r="B63" s="16" t="s">
        <v>91</v>
      </c>
      <c r="C63" s="18">
        <v>43.7</v>
      </c>
      <c r="D63" s="18">
        <v>22</v>
      </c>
      <c r="E63" s="18">
        <v>21.7</v>
      </c>
      <c r="F63" s="18">
        <v>19.399999999999999</v>
      </c>
      <c r="G63" s="18">
        <v>40.71</v>
      </c>
      <c r="H63" s="30">
        <v>0.86599999999999999</v>
      </c>
      <c r="I63" s="30">
        <v>2.246</v>
      </c>
      <c r="J63" s="31">
        <v>623.6</v>
      </c>
      <c r="K63" s="31">
        <v>513.5</v>
      </c>
      <c r="L63" s="18">
        <v>82.3</v>
      </c>
      <c r="M63" s="16" t="s">
        <v>94</v>
      </c>
      <c r="N63" s="18">
        <v>12.2</v>
      </c>
    </row>
    <row r="65" spans="1:14" ht="27.75" customHeight="1" x14ac:dyDescent="0.35">
      <c r="A65" s="2" t="s">
        <v>106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</sheetData>
  <mergeCells count="2">
    <mergeCell ref="A1:N1"/>
    <mergeCell ref="A65:N6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4" customWidth="1"/>
    <col min="3" max="4" width="13" customWidth="1"/>
    <col min="5" max="5" width="12" customWidth="1"/>
    <col min="6" max="6" width="13" customWidth="1"/>
    <col min="7" max="7" width="11" customWidth="1"/>
    <col min="8" max="8" width="13" customWidth="1"/>
    <col min="9" max="9" width="12" customWidth="1"/>
    <col min="10" max="10" width="10" customWidth="1"/>
    <col min="11" max="12" width="11" customWidth="1"/>
  </cols>
  <sheetData>
    <row r="1" spans="1:12" ht="24" customHeight="1" x14ac:dyDescent="0.35">
      <c r="A1" s="8" t="s">
        <v>107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spans="1:12" ht="36" customHeight="1" x14ac:dyDescent="0.35">
      <c r="A3" s="9" t="s">
        <v>1</v>
      </c>
      <c r="B3" s="9" t="s">
        <v>3</v>
      </c>
      <c r="C3" s="9" t="s">
        <v>108</v>
      </c>
      <c r="D3" s="9" t="s">
        <v>109</v>
      </c>
      <c r="E3" s="9" t="s">
        <v>110</v>
      </c>
      <c r="F3" s="9" t="s">
        <v>111</v>
      </c>
      <c r="G3" s="9" t="s">
        <v>112</v>
      </c>
      <c r="H3" s="9" t="s">
        <v>113</v>
      </c>
      <c r="I3" s="9" t="s">
        <v>114</v>
      </c>
      <c r="J3" s="9" t="s">
        <v>115</v>
      </c>
      <c r="K3" s="9" t="s">
        <v>116</v>
      </c>
      <c r="L3" s="9" t="s">
        <v>117</v>
      </c>
    </row>
    <row r="4" spans="1:12" ht="15" customHeight="1" x14ac:dyDescent="0.35">
      <c r="A4" s="10" t="s">
        <v>14</v>
      </c>
      <c r="B4" s="11" t="s">
        <v>16</v>
      </c>
      <c r="C4" s="12">
        <v>1989</v>
      </c>
      <c r="D4" s="12">
        <v>1642</v>
      </c>
      <c r="E4" s="13">
        <v>17.399999999999999</v>
      </c>
      <c r="F4" s="24">
        <v>12</v>
      </c>
      <c r="G4" s="13">
        <v>2.8</v>
      </c>
      <c r="H4" s="24">
        <v>7</v>
      </c>
      <c r="I4" s="10" t="s">
        <v>118</v>
      </c>
      <c r="J4" s="10" t="s">
        <v>119</v>
      </c>
      <c r="K4" s="13">
        <v>4.2</v>
      </c>
      <c r="L4" s="24">
        <v>200</v>
      </c>
    </row>
    <row r="5" spans="1:12" ht="15" customHeight="1" x14ac:dyDescent="0.35">
      <c r="A5" s="15" t="s">
        <v>20</v>
      </c>
      <c r="B5" s="16" t="s">
        <v>22</v>
      </c>
      <c r="C5" s="17">
        <v>7949</v>
      </c>
      <c r="D5" s="17">
        <v>6254</v>
      </c>
      <c r="E5" s="18">
        <v>21.3</v>
      </c>
      <c r="F5" s="26">
        <v>18</v>
      </c>
      <c r="G5" s="18">
        <v>3.2</v>
      </c>
      <c r="H5" s="26">
        <v>14</v>
      </c>
      <c r="I5" s="15" t="s">
        <v>118</v>
      </c>
      <c r="J5" s="15" t="s">
        <v>119</v>
      </c>
      <c r="K5" s="18">
        <v>9.1</v>
      </c>
      <c r="L5" s="26">
        <v>200</v>
      </c>
    </row>
    <row r="6" spans="1:12" ht="15" customHeight="1" x14ac:dyDescent="0.35">
      <c r="A6" s="10" t="s">
        <v>25</v>
      </c>
      <c r="B6" s="11" t="s">
        <v>27</v>
      </c>
      <c r="C6" s="12">
        <v>4688</v>
      </c>
      <c r="D6" s="12">
        <v>3845</v>
      </c>
      <c r="E6" s="13">
        <v>18</v>
      </c>
      <c r="F6" s="24">
        <v>15</v>
      </c>
      <c r="G6" s="13">
        <v>2.5</v>
      </c>
      <c r="H6" s="24">
        <v>11</v>
      </c>
      <c r="I6" s="10" t="s">
        <v>118</v>
      </c>
      <c r="J6" s="10" t="s">
        <v>119</v>
      </c>
      <c r="K6" s="13">
        <v>6.8</v>
      </c>
      <c r="L6" s="24">
        <v>200</v>
      </c>
    </row>
    <row r="7" spans="1:12" ht="15" customHeight="1" x14ac:dyDescent="0.35">
      <c r="A7" s="15" t="s">
        <v>30</v>
      </c>
      <c r="B7" s="16" t="s">
        <v>31</v>
      </c>
      <c r="C7" s="17">
        <v>1305</v>
      </c>
      <c r="D7" s="17">
        <v>1120</v>
      </c>
      <c r="E7" s="18">
        <v>14.2</v>
      </c>
      <c r="F7" s="26">
        <v>8</v>
      </c>
      <c r="G7" s="18">
        <v>1.9</v>
      </c>
      <c r="H7" s="26">
        <v>5</v>
      </c>
      <c r="I7" s="15" t="s">
        <v>118</v>
      </c>
      <c r="J7" s="15" t="s">
        <v>119</v>
      </c>
      <c r="K7" s="18">
        <v>4</v>
      </c>
      <c r="L7" s="26">
        <v>200</v>
      </c>
    </row>
    <row r="8" spans="1:12" ht="15" customHeight="1" x14ac:dyDescent="0.35">
      <c r="A8" s="10" t="s">
        <v>34</v>
      </c>
      <c r="B8" s="11" t="s">
        <v>35</v>
      </c>
      <c r="C8" s="12">
        <v>15424</v>
      </c>
      <c r="D8" s="12">
        <v>11118</v>
      </c>
      <c r="E8" s="13">
        <v>27.9</v>
      </c>
      <c r="F8" s="24">
        <v>25</v>
      </c>
      <c r="G8" s="13">
        <v>4.0999999999999996</v>
      </c>
      <c r="H8" s="24">
        <v>21</v>
      </c>
      <c r="I8" s="10" t="s">
        <v>118</v>
      </c>
      <c r="J8" s="10" t="s">
        <v>119</v>
      </c>
      <c r="K8" s="13">
        <v>16.8</v>
      </c>
      <c r="L8" s="24">
        <v>200</v>
      </c>
    </row>
    <row r="9" spans="1:12" ht="15" customHeight="1" x14ac:dyDescent="0.35">
      <c r="A9" s="15" t="s">
        <v>36</v>
      </c>
      <c r="B9" s="16" t="s">
        <v>37</v>
      </c>
      <c r="C9" s="17">
        <v>8542</v>
      </c>
      <c r="D9" s="17">
        <v>6748</v>
      </c>
      <c r="E9" s="18">
        <v>21</v>
      </c>
      <c r="F9" s="26">
        <v>20</v>
      </c>
      <c r="G9" s="18">
        <v>3.5</v>
      </c>
      <c r="H9" s="26">
        <v>15</v>
      </c>
      <c r="I9" s="15" t="s">
        <v>118</v>
      </c>
      <c r="J9" s="15" t="s">
        <v>119</v>
      </c>
      <c r="K9" s="18">
        <v>10.4</v>
      </c>
      <c r="L9" s="26">
        <v>200</v>
      </c>
    </row>
    <row r="10" spans="1:12" ht="15" customHeight="1" x14ac:dyDescent="0.35">
      <c r="A10" s="10" t="s">
        <v>40</v>
      </c>
      <c r="B10" s="11" t="s">
        <v>41</v>
      </c>
      <c r="C10" s="12">
        <v>3215</v>
      </c>
      <c r="D10" s="12">
        <v>2386</v>
      </c>
      <c r="E10" s="13">
        <v>25.8</v>
      </c>
      <c r="F10" s="24">
        <v>14</v>
      </c>
      <c r="G10" s="13">
        <v>3.8</v>
      </c>
      <c r="H10" s="24">
        <v>12</v>
      </c>
      <c r="I10" s="10" t="s">
        <v>118</v>
      </c>
      <c r="J10" s="10" t="s">
        <v>119</v>
      </c>
      <c r="K10" s="13">
        <v>7.5</v>
      </c>
      <c r="L10" s="24">
        <v>200</v>
      </c>
    </row>
    <row r="11" spans="1:12" ht="15" customHeight="1" x14ac:dyDescent="0.35">
      <c r="A11" s="15" t="s">
        <v>43</v>
      </c>
      <c r="B11" s="16" t="s">
        <v>44</v>
      </c>
      <c r="C11" s="17">
        <v>19278</v>
      </c>
      <c r="D11" s="17">
        <v>14652</v>
      </c>
      <c r="E11" s="18">
        <v>24</v>
      </c>
      <c r="F11" s="26">
        <v>28</v>
      </c>
      <c r="G11" s="18">
        <v>3.9</v>
      </c>
      <c r="H11" s="26">
        <v>18</v>
      </c>
      <c r="I11" s="15" t="s">
        <v>118</v>
      </c>
      <c r="J11" s="15" t="s">
        <v>119</v>
      </c>
      <c r="K11" s="18">
        <v>14.2</v>
      </c>
      <c r="L11" s="26">
        <v>200</v>
      </c>
    </row>
    <row r="12" spans="1:12" ht="15" customHeight="1" x14ac:dyDescent="0.35">
      <c r="A12" s="10" t="s">
        <v>46</v>
      </c>
      <c r="B12" s="11" t="s">
        <v>47</v>
      </c>
      <c r="C12" s="12">
        <v>4967</v>
      </c>
      <c r="D12" s="12">
        <v>4124</v>
      </c>
      <c r="E12" s="13">
        <v>17</v>
      </c>
      <c r="F12" s="24">
        <v>16</v>
      </c>
      <c r="G12" s="13">
        <v>2.7</v>
      </c>
      <c r="H12" s="24">
        <v>10</v>
      </c>
      <c r="I12" s="10" t="s">
        <v>118</v>
      </c>
      <c r="J12" s="10" t="s">
        <v>119</v>
      </c>
      <c r="K12" s="13">
        <v>7.1</v>
      </c>
      <c r="L12" s="24">
        <v>200</v>
      </c>
    </row>
    <row r="13" spans="1:12" ht="15" customHeight="1" x14ac:dyDescent="0.35">
      <c r="A13" s="15" t="s">
        <v>50</v>
      </c>
      <c r="B13" s="16" t="s">
        <v>51</v>
      </c>
      <c r="C13" s="17">
        <v>2495</v>
      </c>
      <c r="D13" s="17">
        <v>2084</v>
      </c>
      <c r="E13" s="18">
        <v>16.5</v>
      </c>
      <c r="F13" s="26">
        <v>10</v>
      </c>
      <c r="G13" s="18">
        <v>2.2000000000000002</v>
      </c>
      <c r="H13" s="26">
        <v>8</v>
      </c>
      <c r="I13" s="15" t="s">
        <v>118</v>
      </c>
      <c r="J13" s="15" t="s">
        <v>119</v>
      </c>
      <c r="K13" s="18">
        <v>5.3</v>
      </c>
      <c r="L13" s="26">
        <v>200</v>
      </c>
    </row>
    <row r="14" spans="1:12" ht="15" customHeight="1" x14ac:dyDescent="0.35">
      <c r="A14" s="10" t="s">
        <v>54</v>
      </c>
      <c r="B14" s="11" t="s">
        <v>16</v>
      </c>
      <c r="C14" s="12">
        <v>31990</v>
      </c>
      <c r="D14" s="12">
        <v>25112</v>
      </c>
      <c r="E14" s="13">
        <v>21.5</v>
      </c>
      <c r="F14" s="24">
        <v>32</v>
      </c>
      <c r="G14" s="13">
        <v>4.3</v>
      </c>
      <c r="H14" s="24">
        <v>24</v>
      </c>
      <c r="I14" s="10" t="s">
        <v>118</v>
      </c>
      <c r="J14" s="10" t="s">
        <v>119</v>
      </c>
      <c r="K14" s="13">
        <v>17.8</v>
      </c>
      <c r="L14" s="24">
        <v>200</v>
      </c>
    </row>
    <row r="15" spans="1:12" ht="15" customHeight="1" x14ac:dyDescent="0.35">
      <c r="A15" s="15" t="s">
        <v>56</v>
      </c>
      <c r="B15" s="16" t="s">
        <v>57</v>
      </c>
      <c r="C15" s="17">
        <v>10514</v>
      </c>
      <c r="D15" s="17">
        <v>8245</v>
      </c>
      <c r="E15" s="18">
        <v>21.6</v>
      </c>
      <c r="F15" s="26">
        <v>22</v>
      </c>
      <c r="G15" s="18">
        <v>3.4</v>
      </c>
      <c r="H15" s="26">
        <v>16</v>
      </c>
      <c r="I15" s="15" t="s">
        <v>118</v>
      </c>
      <c r="J15" s="15" t="s">
        <v>119</v>
      </c>
      <c r="K15" s="18">
        <v>11.6</v>
      </c>
      <c r="L15" s="26">
        <v>200</v>
      </c>
    </row>
    <row r="16" spans="1:12" ht="15.75" customHeight="1" x14ac:dyDescent="0.35">
      <c r="A16" s="6" t="s">
        <v>120</v>
      </c>
      <c r="B16" s="6"/>
      <c r="C16" s="20">
        <f>AVERAGE(C4:C15)</f>
        <v>9363</v>
      </c>
      <c r="D16" s="20">
        <f>AVERAGE(D4:D15)</f>
        <v>7277.5</v>
      </c>
      <c r="E16" s="21">
        <f>AVERAGE(E4:E15)</f>
        <v>20.516666666666669</v>
      </c>
      <c r="F16" s="21">
        <f>AVERAGE(F4:F15)</f>
        <v>18.333333333333332</v>
      </c>
      <c r="G16" s="21">
        <f>AVERAGE(G4:G15)</f>
        <v>3.1916666666666664</v>
      </c>
      <c r="K16" s="21">
        <f>AVERAGE(K4:K15)</f>
        <v>9.5666666666666647</v>
      </c>
    </row>
  </sheetData>
  <mergeCells count="2">
    <mergeCell ref="A1:L1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5" customWidth="1"/>
    <col min="3" max="4" width="13" customWidth="1"/>
    <col min="5" max="6" width="11" customWidth="1"/>
    <col min="7" max="8" width="13" customWidth="1"/>
  </cols>
  <sheetData>
    <row r="1" spans="1:8" ht="24" customHeight="1" x14ac:dyDescent="0.35">
      <c r="A1" s="8" t="s">
        <v>121</v>
      </c>
      <c r="B1" s="8"/>
      <c r="C1" s="8"/>
      <c r="D1" s="8"/>
      <c r="E1" s="8"/>
      <c r="F1" s="8"/>
      <c r="G1" s="8"/>
      <c r="H1" s="8"/>
    </row>
    <row r="3" spans="1:8" ht="36" customHeight="1" x14ac:dyDescent="0.35">
      <c r="A3" s="9" t="s">
        <v>122</v>
      </c>
      <c r="B3" s="9" t="s">
        <v>123</v>
      </c>
      <c r="C3" s="9" t="s">
        <v>124</v>
      </c>
      <c r="D3" s="9" t="s">
        <v>125</v>
      </c>
      <c r="E3" s="9" t="s">
        <v>126</v>
      </c>
      <c r="F3" s="9" t="s">
        <v>127</v>
      </c>
      <c r="G3" s="9" t="s">
        <v>128</v>
      </c>
      <c r="H3" s="9" t="s">
        <v>129</v>
      </c>
    </row>
    <row r="4" spans="1:8" ht="15" customHeight="1" x14ac:dyDescent="0.35">
      <c r="A4" s="24">
        <v>1</v>
      </c>
      <c r="B4" s="10" t="s">
        <v>14</v>
      </c>
      <c r="C4" s="13">
        <v>13.8</v>
      </c>
      <c r="D4" s="13">
        <v>10.199999999999999</v>
      </c>
      <c r="E4" s="13">
        <v>5.9</v>
      </c>
      <c r="F4" s="28">
        <v>0.96299999999999997</v>
      </c>
      <c r="G4" s="13">
        <v>281.2</v>
      </c>
      <c r="H4" s="13">
        <v>4.0999999999999996</v>
      </c>
    </row>
    <row r="5" spans="1:8" ht="15" customHeight="1" x14ac:dyDescent="0.35">
      <c r="A5" s="26">
        <v>2</v>
      </c>
      <c r="B5" s="15" t="s">
        <v>20</v>
      </c>
      <c r="C5" s="18">
        <v>14.1</v>
      </c>
      <c r="D5" s="18">
        <v>10.5</v>
      </c>
      <c r="E5" s="18">
        <v>6.1</v>
      </c>
      <c r="F5" s="30">
        <v>0.96099999999999997</v>
      </c>
      <c r="G5" s="18">
        <v>287.39999999999998</v>
      </c>
      <c r="H5" s="18">
        <v>4.3</v>
      </c>
    </row>
    <row r="6" spans="1:8" ht="15" customHeight="1" x14ac:dyDescent="0.35">
      <c r="A6" s="24">
        <v>3</v>
      </c>
      <c r="B6" s="10" t="s">
        <v>25</v>
      </c>
      <c r="C6" s="13">
        <v>12.9</v>
      </c>
      <c r="D6" s="13">
        <v>9.4</v>
      </c>
      <c r="E6" s="13">
        <v>5.4</v>
      </c>
      <c r="F6" s="28">
        <v>0.96699999999999997</v>
      </c>
      <c r="G6" s="13">
        <v>283.10000000000002</v>
      </c>
      <c r="H6" s="13">
        <v>4.2</v>
      </c>
    </row>
    <row r="7" spans="1:8" ht="15" customHeight="1" x14ac:dyDescent="0.35">
      <c r="A7" s="26">
        <v>4</v>
      </c>
      <c r="B7" s="15" t="s">
        <v>30</v>
      </c>
      <c r="C7" s="18">
        <v>13.4</v>
      </c>
      <c r="D7" s="18">
        <v>9.8000000000000007</v>
      </c>
      <c r="E7" s="18">
        <v>5.7</v>
      </c>
      <c r="F7" s="30">
        <v>0.96399999999999997</v>
      </c>
      <c r="G7" s="18">
        <v>279.8</v>
      </c>
      <c r="H7" s="18">
        <v>4</v>
      </c>
    </row>
    <row r="8" spans="1:8" ht="15" customHeight="1" x14ac:dyDescent="0.35">
      <c r="A8" s="24">
        <v>5</v>
      </c>
      <c r="B8" s="10" t="s">
        <v>34</v>
      </c>
      <c r="C8" s="13">
        <v>13.2</v>
      </c>
      <c r="D8" s="13">
        <v>10</v>
      </c>
      <c r="E8" s="13">
        <v>5.8</v>
      </c>
      <c r="F8" s="28">
        <v>0.96499999999999997</v>
      </c>
      <c r="G8" s="13">
        <v>290.3</v>
      </c>
      <c r="H8" s="13">
        <v>4.4000000000000004</v>
      </c>
    </row>
    <row r="9" spans="1:8" ht="15" customHeight="1" x14ac:dyDescent="0.35">
      <c r="A9" s="26">
        <v>6</v>
      </c>
      <c r="B9" s="15" t="s">
        <v>36</v>
      </c>
      <c r="C9" s="18">
        <v>12.8</v>
      </c>
      <c r="D9" s="18">
        <v>9.1999999999999993</v>
      </c>
      <c r="E9" s="18">
        <v>5.3</v>
      </c>
      <c r="F9" s="30">
        <v>0.96799999999999997</v>
      </c>
      <c r="G9" s="18">
        <v>282.7</v>
      </c>
      <c r="H9" s="18">
        <v>4.0999999999999996</v>
      </c>
    </row>
    <row r="10" spans="1:8" ht="15" customHeight="1" x14ac:dyDescent="0.35">
      <c r="A10" s="24">
        <v>7</v>
      </c>
      <c r="B10" s="10" t="s">
        <v>40</v>
      </c>
      <c r="C10" s="13">
        <v>13.6</v>
      </c>
      <c r="D10" s="13">
        <v>10.1</v>
      </c>
      <c r="E10" s="13">
        <v>5.9</v>
      </c>
      <c r="F10" s="28">
        <v>0.96299999999999997</v>
      </c>
      <c r="G10" s="13">
        <v>285.89999999999998</v>
      </c>
      <c r="H10" s="13">
        <v>4.3</v>
      </c>
    </row>
    <row r="11" spans="1:8" ht="15" customHeight="1" x14ac:dyDescent="0.35">
      <c r="A11" s="26">
        <v>8</v>
      </c>
      <c r="B11" s="15" t="s">
        <v>43</v>
      </c>
      <c r="C11" s="18">
        <v>13</v>
      </c>
      <c r="D11" s="18">
        <v>9.6</v>
      </c>
      <c r="E11" s="18">
        <v>5.5</v>
      </c>
      <c r="F11" s="30">
        <v>0.96599999999999997</v>
      </c>
      <c r="G11" s="18">
        <v>284.10000000000002</v>
      </c>
      <c r="H11" s="18">
        <v>4.2</v>
      </c>
    </row>
    <row r="12" spans="1:8" ht="15" customHeight="1" x14ac:dyDescent="0.35">
      <c r="A12" s="24">
        <v>9</v>
      </c>
      <c r="B12" s="10" t="s">
        <v>46</v>
      </c>
      <c r="C12" s="13">
        <v>12.6</v>
      </c>
      <c r="D12" s="13">
        <v>9.1</v>
      </c>
      <c r="E12" s="13">
        <v>5.2</v>
      </c>
      <c r="F12" s="28">
        <v>0.96899999999999997</v>
      </c>
      <c r="G12" s="13">
        <v>280.5</v>
      </c>
      <c r="H12" s="13">
        <v>4</v>
      </c>
    </row>
    <row r="13" spans="1:8" ht="15" customHeight="1" x14ac:dyDescent="0.35">
      <c r="A13" s="26">
        <v>10</v>
      </c>
      <c r="B13" s="15" t="s">
        <v>50</v>
      </c>
      <c r="C13" s="18">
        <v>13.3</v>
      </c>
      <c r="D13" s="18">
        <v>9.6999999999999993</v>
      </c>
      <c r="E13" s="18">
        <v>5.6</v>
      </c>
      <c r="F13" s="30">
        <v>0.96499999999999997</v>
      </c>
      <c r="G13" s="18">
        <v>283.8</v>
      </c>
      <c r="H13" s="18">
        <v>4.0999999999999996</v>
      </c>
    </row>
    <row r="14" spans="1:8" ht="15" customHeight="1" x14ac:dyDescent="0.35">
      <c r="A14" s="24">
        <v>11</v>
      </c>
      <c r="B14" s="10" t="s">
        <v>54</v>
      </c>
      <c r="C14" s="13">
        <v>13.5</v>
      </c>
      <c r="D14" s="13">
        <v>10</v>
      </c>
      <c r="E14" s="13">
        <v>5.8</v>
      </c>
      <c r="F14" s="28">
        <v>0.96399999999999997</v>
      </c>
      <c r="G14" s="13">
        <v>288.2</v>
      </c>
      <c r="H14" s="13">
        <v>4.3</v>
      </c>
    </row>
    <row r="15" spans="1:8" ht="15" customHeight="1" x14ac:dyDescent="0.35">
      <c r="A15" s="26">
        <v>12</v>
      </c>
      <c r="B15" s="15" t="s">
        <v>56</v>
      </c>
      <c r="C15" s="18">
        <v>12.7</v>
      </c>
      <c r="D15" s="18">
        <v>9.3000000000000007</v>
      </c>
      <c r="E15" s="18">
        <v>5.4</v>
      </c>
      <c r="F15" s="30">
        <v>0.96699999999999997</v>
      </c>
      <c r="G15" s="18">
        <v>282</v>
      </c>
      <c r="H15" s="18">
        <v>4.0999999999999996</v>
      </c>
    </row>
    <row r="16" spans="1:8" ht="15.75" customHeight="1" x14ac:dyDescent="0.35">
      <c r="A16" s="6" t="s">
        <v>130</v>
      </c>
      <c r="B16" s="6"/>
      <c r="C16" s="21">
        <f t="shared" ref="C16:H16" si="0">AVERAGE(C4:C15)</f>
        <v>13.241666666666665</v>
      </c>
      <c r="D16" s="21">
        <f t="shared" si="0"/>
        <v>9.7416666666666654</v>
      </c>
      <c r="E16" s="21">
        <f t="shared" si="0"/>
        <v>5.6333333333333329</v>
      </c>
      <c r="F16" s="32">
        <f t="shared" si="0"/>
        <v>0.96516666666666673</v>
      </c>
      <c r="G16" s="21">
        <f t="shared" si="0"/>
        <v>284.08333333333331</v>
      </c>
      <c r="H16" s="21">
        <f t="shared" si="0"/>
        <v>4.1749999999999998</v>
      </c>
    </row>
    <row r="17" spans="1:6" ht="15.75" customHeight="1" x14ac:dyDescent="0.35">
      <c r="A17" s="1" t="s">
        <v>131</v>
      </c>
      <c r="B17" s="1"/>
      <c r="E17" s="33" t="s">
        <v>132</v>
      </c>
      <c r="F17" s="33" t="s">
        <v>133</v>
      </c>
    </row>
  </sheetData>
  <mergeCells count="3">
    <mergeCell ref="A1:H1"/>
    <mergeCell ref="A16:B16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Overview</vt:lpstr>
      <vt:lpstr>Material Quantities &amp; EC</vt:lpstr>
      <vt:lpstr>Thermal Penalty Records</vt:lpstr>
      <vt:lpstr>Scheduling Optimisation</vt:lpstr>
      <vt:lpstr>PINN LOPO-CV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2026-10-16T09:27:32Z</dcterms:created>
  <dcterms:modified xsi:type="dcterms:W3CDTF">2026-10-16T09:27:35Z</dcterms:modified>
  <dc:language/>
</cp:coreProperties>
</file>